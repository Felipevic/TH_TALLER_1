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b108f0a9d2e271a/Escritorio/202520/Tecnología del Hormigón/TH_TALLER_1/"/>
    </mc:Choice>
  </mc:AlternateContent>
  <xr:revisionPtr revIDLastSave="1255" documentId="13_ncr:1_{982DE398-B645-244F-8EE9-90AC3EFB2F13}" xr6:coauthVersionLast="47" xr6:coauthVersionMax="47" xr10:uidLastSave="{5CCC5BEA-E303-45F9-B233-1241FDA60A08}"/>
  <bookViews>
    <workbookView xWindow="-98" yWindow="-98" windowWidth="19396" windowHeight="11475" xr2:uid="{31D304DE-4E80-7E49-B756-D776838E9ED7}"/>
  </bookViews>
  <sheets>
    <sheet name="PLANTILLA" sheetId="6" r:id="rId1"/>
    <sheet name="GRAFICOS" sheetId="5" r:id="rId2"/>
    <sheet name="ARIDOS" sheetId="7" r:id="rId3"/>
  </sheets>
  <definedNames>
    <definedName name="solver_adj" localSheetId="0" hidden="1">PLANTILLA!$E$32:$E$34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PLANTILLA!$E$36</definedName>
    <definedName name="solver_lhs10" localSheetId="0" hidden="1">PLANTILLA!$Q$71:$Q$85</definedName>
    <definedName name="solver_lhs11" localSheetId="0" hidden="1">PLANTILLA!$N$49</definedName>
    <definedName name="solver_lhs12" localSheetId="0" hidden="1">PLANTILLA!$N$50</definedName>
    <definedName name="solver_lhs13" localSheetId="0" hidden="1">PLANTILLA!$N$51</definedName>
    <definedName name="solver_lhs14" localSheetId="0" hidden="1">PLANTILLA!$N$52</definedName>
    <definedName name="solver_lhs15" localSheetId="0" hidden="1">PLANTILLA!$N$53</definedName>
    <definedName name="solver_lhs16" localSheetId="0" hidden="1">PLANTILLA!$N$54</definedName>
    <definedName name="solver_lhs2" localSheetId="0" hidden="1">PLANTILLA!$Q$71:$Q$85</definedName>
    <definedName name="solver_lhs3" localSheetId="0" hidden="1">PLANTILLA!$Q$70:$Q$84</definedName>
    <definedName name="solver_lhs4" localSheetId="0" hidden="1">PLANTILLA!$Q$71:$Q$85</definedName>
    <definedName name="solver_lhs5" localSheetId="0" hidden="1">PLANTILLA!$E$36</definedName>
    <definedName name="solver_lhs6" localSheetId="0" hidden="1">PLANTILLA!$Q$71:$Q$85</definedName>
    <definedName name="solver_lhs7" localSheetId="0" hidden="1">PLANTILLA!$E$36</definedName>
    <definedName name="solver_lhs8" localSheetId="0" hidden="1">PLANTILLA!$Q$71:$Q$85</definedName>
    <definedName name="solver_lhs9" localSheetId="0" hidden="1">PLANTILLA!$E$36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opt" localSheetId="0" hidden="1">PLANTILLA!$S$83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10" localSheetId="0" hidden="1">2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1</definedName>
    <definedName name="solver_rhs10" localSheetId="0" hidden="1">1</definedName>
    <definedName name="solver_rhs11" localSheetId="0" hidden="1">PLANTILLA!$O$49</definedName>
    <definedName name="solver_rhs12" localSheetId="0" hidden="1">PLANTILLA!$O$50</definedName>
    <definedName name="solver_rhs13" localSheetId="0" hidden="1">PLANTILLA!$O$51</definedName>
    <definedName name="solver_rhs14" localSheetId="0" hidden="1">PLANTILLA!$O$52</definedName>
    <definedName name="solver_rhs15" localSheetId="0" hidden="1">PLANTILLA!$O$53</definedName>
    <definedName name="solver_rhs16" localSheetId="0" hidden="1">PLANTILLA!$O$54</definedName>
    <definedName name="solver_rhs2" localSheetId="0" hidden="1">1</definedName>
    <definedName name="solver_rhs3" localSheetId="0" hidden="1">1</definedName>
    <definedName name="solver_rhs4" localSheetId="0" hidden="1">1</definedName>
    <definedName name="solver_rhs5" localSheetId="0" hidden="1">PLANTILLA!$E$35</definedName>
    <definedName name="solver_rhs6" localSheetId="0" hidden="1">1</definedName>
    <definedName name="solver_rhs7" localSheetId="0" hidden="1">PLANTILLA!$E$35</definedName>
    <definedName name="solver_rhs8" localSheetId="0" hidden="1">1</definedName>
    <definedName name="solver_rhs9" localSheetId="0" hidden="1">PLANTILLA!$E$35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1</definedName>
    <definedName name="solver_typ" localSheetId="0" hidden="1">3</definedName>
    <definedName name="solver_val" localSheetId="0" hidden="1">0</definedName>
    <definedName name="solver_ver" localSheetId="0" hidden="1">2</definedName>
  </definedNames>
  <calcPr calcId="191029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6" l="1"/>
  <c r="G19" i="6"/>
  <c r="G22" i="6"/>
  <c r="C20" i="6"/>
  <c r="C21" i="6"/>
  <c r="C22" i="6" s="1"/>
  <c r="C19" i="6"/>
  <c r="Q20" i="6"/>
  <c r="Q21" i="6"/>
  <c r="Q6" i="6"/>
  <c r="R6" i="6"/>
  <c r="S6" i="6"/>
  <c r="Q7" i="6"/>
  <c r="R7" i="6"/>
  <c r="S7" i="6"/>
  <c r="Q8" i="6"/>
  <c r="R8" i="6"/>
  <c r="S8" i="6"/>
  <c r="Q9" i="6"/>
  <c r="R9" i="6"/>
  <c r="S9" i="6"/>
  <c r="Q10" i="6"/>
  <c r="R10" i="6"/>
  <c r="S10" i="6"/>
  <c r="Q11" i="6"/>
  <c r="R11" i="6"/>
  <c r="S11" i="6"/>
  <c r="Q12" i="6"/>
  <c r="R12" i="6"/>
  <c r="S12" i="6"/>
  <c r="Q13" i="6"/>
  <c r="R13" i="6"/>
  <c r="S13" i="6"/>
  <c r="Q14" i="6"/>
  <c r="R14" i="6"/>
  <c r="S14" i="6"/>
  <c r="Q15" i="6"/>
  <c r="R15" i="6"/>
  <c r="S15" i="6"/>
  <c r="Q16" i="6"/>
  <c r="R16" i="6"/>
  <c r="S16" i="6"/>
  <c r="Q17" i="6"/>
  <c r="R17" i="6"/>
  <c r="S17" i="6"/>
  <c r="Q18" i="6"/>
  <c r="R18" i="6"/>
  <c r="S18" i="6"/>
  <c r="Q19" i="6"/>
  <c r="R19" i="6"/>
  <c r="S19" i="6"/>
  <c r="Q5" i="6"/>
  <c r="R5" i="6"/>
  <c r="N20" i="6"/>
  <c r="N21" i="6"/>
  <c r="N6" i="6"/>
  <c r="O6" i="6"/>
  <c r="P6" i="6"/>
  <c r="N7" i="6"/>
  <c r="O7" i="6"/>
  <c r="P7" i="6"/>
  <c r="N8" i="6"/>
  <c r="O8" i="6"/>
  <c r="P8" i="6"/>
  <c r="N9" i="6"/>
  <c r="O9" i="6"/>
  <c r="P9" i="6"/>
  <c r="N10" i="6"/>
  <c r="O10" i="6"/>
  <c r="P10" i="6"/>
  <c r="N11" i="6"/>
  <c r="O11" i="6"/>
  <c r="P11" i="6"/>
  <c r="N12" i="6"/>
  <c r="O12" i="6"/>
  <c r="P12" i="6"/>
  <c r="N13" i="6"/>
  <c r="O13" i="6"/>
  <c r="P13" i="6"/>
  <c r="N14" i="6"/>
  <c r="O14" i="6"/>
  <c r="P14" i="6"/>
  <c r="N15" i="6"/>
  <c r="O15" i="6"/>
  <c r="P15" i="6"/>
  <c r="N16" i="6"/>
  <c r="O16" i="6"/>
  <c r="P16" i="6"/>
  <c r="N17" i="6"/>
  <c r="O17" i="6"/>
  <c r="P17" i="6"/>
  <c r="N18" i="6"/>
  <c r="O18" i="6"/>
  <c r="P18" i="6"/>
  <c r="N19" i="6"/>
  <c r="O19" i="6"/>
  <c r="P19" i="6"/>
  <c r="N5" i="6"/>
  <c r="O5" i="6"/>
  <c r="K20" i="6"/>
  <c r="K21" i="6"/>
  <c r="K6" i="6"/>
  <c r="L6" i="6"/>
  <c r="M6" i="6"/>
  <c r="K7" i="6"/>
  <c r="L7" i="6"/>
  <c r="M7" i="6"/>
  <c r="K8" i="6"/>
  <c r="L8" i="6"/>
  <c r="M8" i="6"/>
  <c r="K9" i="6"/>
  <c r="L9" i="6"/>
  <c r="M9" i="6"/>
  <c r="K10" i="6"/>
  <c r="L10" i="6"/>
  <c r="M10" i="6"/>
  <c r="K11" i="6"/>
  <c r="L11" i="6"/>
  <c r="M11" i="6"/>
  <c r="K12" i="6"/>
  <c r="L12" i="6"/>
  <c r="M12" i="6"/>
  <c r="K13" i="6"/>
  <c r="L13" i="6"/>
  <c r="M13" i="6"/>
  <c r="K14" i="6"/>
  <c r="L14" i="6"/>
  <c r="M14" i="6"/>
  <c r="K15" i="6"/>
  <c r="L15" i="6"/>
  <c r="M15" i="6"/>
  <c r="K16" i="6"/>
  <c r="L16" i="6"/>
  <c r="M16" i="6"/>
  <c r="K17" i="6"/>
  <c r="L17" i="6"/>
  <c r="M17" i="6"/>
  <c r="K18" i="6"/>
  <c r="L18" i="6"/>
  <c r="M18" i="6"/>
  <c r="K19" i="6"/>
  <c r="L19" i="6"/>
  <c r="M19" i="6"/>
  <c r="K5" i="6"/>
  <c r="L5" i="6"/>
  <c r="E20" i="6"/>
  <c r="E21" i="6"/>
  <c r="E19" i="6"/>
  <c r="D20" i="6"/>
  <c r="D21" i="6"/>
  <c r="D19" i="6"/>
  <c r="M5" i="6"/>
  <c r="P5" i="6"/>
  <c r="S5" i="6"/>
  <c r="Q2" i="6"/>
  <c r="N2" i="6"/>
  <c r="K2" i="6"/>
  <c r="B27" i="6"/>
  <c r="I62" i="6" s="1"/>
  <c r="B32" i="6"/>
  <c r="B28" i="6"/>
  <c r="I63" i="6" s="1"/>
  <c r="M63" i="6" s="1"/>
  <c r="B33" i="6"/>
  <c r="B34" i="6"/>
  <c r="B29" i="6"/>
  <c r="I64" i="6" s="1"/>
  <c r="M64" i="6" s="1"/>
  <c r="C18" i="6"/>
  <c r="D18" i="6"/>
  <c r="E18" i="6"/>
  <c r="M68" i="7"/>
  <c r="J68" i="7"/>
  <c r="G68" i="7"/>
  <c r="D68" i="7"/>
  <c r="O61" i="7"/>
  <c r="O62" i="7" s="1"/>
  <c r="O63" i="7" s="1"/>
  <c r="O64" i="7" s="1"/>
  <c r="O65" i="7" s="1"/>
  <c r="O66" i="7" s="1"/>
  <c r="O60" i="7"/>
  <c r="L60" i="7"/>
  <c r="L61" i="7" s="1"/>
  <c r="L62" i="7" s="1"/>
  <c r="L63" i="7" s="1"/>
  <c r="L64" i="7" s="1"/>
  <c r="L65" i="7" s="1"/>
  <c r="L66" i="7" s="1"/>
  <c r="I60" i="7"/>
  <c r="I61" i="7" s="1"/>
  <c r="I62" i="7" s="1"/>
  <c r="I63" i="7" s="1"/>
  <c r="I64" i="7" s="1"/>
  <c r="I65" i="7" s="1"/>
  <c r="I66" i="7" s="1"/>
  <c r="I59" i="7"/>
  <c r="F58" i="7"/>
  <c r="F59" i="7" s="1"/>
  <c r="F60" i="7" s="1"/>
  <c r="F61" i="7" s="1"/>
  <c r="F62" i="7" s="1"/>
  <c r="F63" i="7" s="1"/>
  <c r="F64" i="7" s="1"/>
  <c r="F65" i="7" s="1"/>
  <c r="F66" i="7" s="1"/>
  <c r="M44" i="7"/>
  <c r="J44" i="7"/>
  <c r="G44" i="7"/>
  <c r="D44" i="7"/>
  <c r="L35" i="7"/>
  <c r="L36" i="7" s="1"/>
  <c r="L37" i="7" s="1"/>
  <c r="L38" i="7" s="1"/>
  <c r="L39" i="7" s="1"/>
  <c r="L34" i="7"/>
  <c r="I34" i="7"/>
  <c r="I35" i="7" s="1"/>
  <c r="I36" i="7" s="1"/>
  <c r="I37" i="7" s="1"/>
  <c r="I38" i="7" s="1"/>
  <c r="I39" i="7" s="1"/>
  <c r="I40" i="7" s="1"/>
  <c r="I41" i="7" s="1"/>
  <c r="F34" i="7"/>
  <c r="F35" i="7" s="1"/>
  <c r="F36" i="7" s="1"/>
  <c r="F37" i="7" s="1"/>
  <c r="F38" i="7" s="1"/>
  <c r="F39" i="7" s="1"/>
  <c r="F40" i="7" s="1"/>
  <c r="F41" i="7" s="1"/>
  <c r="O33" i="7"/>
  <c r="O34" i="7" s="1"/>
  <c r="O35" i="7" s="1"/>
  <c r="O36" i="7" s="1"/>
  <c r="O37" i="7" s="1"/>
  <c r="O38" i="7" s="1"/>
  <c r="O39" i="7" s="1"/>
  <c r="L33" i="7"/>
  <c r="I33" i="7"/>
  <c r="F33" i="7"/>
  <c r="M21" i="7"/>
  <c r="J21" i="7"/>
  <c r="G21" i="7"/>
  <c r="D21" i="7"/>
  <c r="L12" i="7"/>
  <c r="L13" i="7" s="1"/>
  <c r="L14" i="7" s="1"/>
  <c r="L15" i="7" s="1"/>
  <c r="L16" i="7" s="1"/>
  <c r="L11" i="7"/>
  <c r="I11" i="7"/>
  <c r="I12" i="7" s="1"/>
  <c r="I13" i="7" s="1"/>
  <c r="I14" i="7" s="1"/>
  <c r="I15" i="7" s="1"/>
  <c r="I16" i="7" s="1"/>
  <c r="I17" i="7" s="1"/>
  <c r="I18" i="7" s="1"/>
  <c r="F11" i="7"/>
  <c r="F12" i="7" s="1"/>
  <c r="F13" i="7" s="1"/>
  <c r="F14" i="7" s="1"/>
  <c r="F15" i="7" s="1"/>
  <c r="F16" i="7" s="1"/>
  <c r="F17" i="7" s="1"/>
  <c r="F18" i="7" s="1"/>
  <c r="O10" i="7"/>
  <c r="O11" i="7" s="1"/>
  <c r="O12" i="7" s="1"/>
  <c r="O13" i="7" s="1"/>
  <c r="O14" i="7" s="1"/>
  <c r="O15" i="7" s="1"/>
  <c r="O16" i="7" s="1"/>
  <c r="L10" i="7"/>
  <c r="I10" i="7"/>
  <c r="F10" i="7"/>
  <c r="C58" i="6"/>
  <c r="Y57" i="6"/>
  <c r="W91" i="6"/>
  <c r="V88" i="6"/>
  <c r="V87" i="6"/>
  <c r="V84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71" i="6"/>
  <c r="V57" i="6"/>
  <c r="V56" i="6"/>
  <c r="V53" i="6"/>
  <c r="O41" i="6"/>
  <c r="P41" i="6" s="1"/>
  <c r="O42" i="6"/>
  <c r="P42" i="6" s="1"/>
  <c r="O43" i="6"/>
  <c r="P43" i="6" s="1"/>
  <c r="O44" i="6"/>
  <c r="P44" i="6" s="1"/>
  <c r="O45" i="6"/>
  <c r="P45" i="6" s="1"/>
  <c r="O46" i="6"/>
  <c r="P46" i="6" s="1"/>
  <c r="O47" i="6"/>
  <c r="P47" i="6" s="1"/>
  <c r="O48" i="6"/>
  <c r="P48" i="6" s="1"/>
  <c r="O49" i="6"/>
  <c r="P49" i="6" s="1"/>
  <c r="O50" i="6"/>
  <c r="P50" i="6" s="1"/>
  <c r="O51" i="6"/>
  <c r="P51" i="6" s="1"/>
  <c r="O52" i="6"/>
  <c r="P52" i="6" s="1"/>
  <c r="O53" i="6"/>
  <c r="P53" i="6" s="1"/>
  <c r="O54" i="6"/>
  <c r="P54" i="6" s="1"/>
  <c r="O40" i="6"/>
  <c r="P40" i="6" s="1"/>
  <c r="J94" i="6"/>
  <c r="N94" i="6" s="1"/>
  <c r="J95" i="6"/>
  <c r="N95" i="6" s="1"/>
  <c r="J93" i="6"/>
  <c r="N93" i="6" s="1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71" i="6"/>
  <c r="I80" i="6"/>
  <c r="S80" i="6" s="1"/>
  <c r="I79" i="6"/>
  <c r="S79" i="6" s="1"/>
  <c r="I78" i="6"/>
  <c r="S78" i="6" s="1"/>
  <c r="I77" i="6"/>
  <c r="S77" i="6" s="1"/>
  <c r="I76" i="6"/>
  <c r="S76" i="6" s="1"/>
  <c r="I75" i="6"/>
  <c r="S75" i="6" s="1"/>
  <c r="I74" i="6"/>
  <c r="S74" i="6" s="1"/>
  <c r="I73" i="6"/>
  <c r="S73" i="6" s="1"/>
  <c r="I72" i="6"/>
  <c r="S72" i="6" s="1"/>
  <c r="I71" i="6"/>
  <c r="S71" i="6" s="1"/>
  <c r="S96" i="6"/>
  <c r="E36" i="6"/>
  <c r="V85" i="6" s="1"/>
  <c r="AC2" i="6"/>
  <c r="J62" i="6"/>
  <c r="C53" i="6"/>
  <c r="B53" i="6"/>
  <c r="F21" i="6"/>
  <c r="F22" i="6" s="1"/>
  <c r="C42" i="6"/>
  <c r="C43" i="6" s="1"/>
  <c r="C48" i="6" s="1" a="1"/>
  <c r="C48" i="6" s="1"/>
  <c r="C41" i="6"/>
  <c r="E24" i="6"/>
  <c r="E23" i="6"/>
  <c r="D24" i="6"/>
  <c r="D23" i="6"/>
  <c r="C24" i="6"/>
  <c r="C23" i="6"/>
  <c r="C40" i="6"/>
  <c r="C39" i="6"/>
  <c r="U5" i="6" l="1"/>
  <c r="V10" i="6"/>
  <c r="L76" i="6" s="1"/>
  <c r="V18" i="6"/>
  <c r="L84" i="6" s="1"/>
  <c r="V6" i="6"/>
  <c r="L72" i="6" s="1"/>
  <c r="V11" i="6"/>
  <c r="L77" i="6" s="1"/>
  <c r="I95" i="6"/>
  <c r="M95" i="6" s="1"/>
  <c r="V5" i="6"/>
  <c r="L71" i="6" s="1"/>
  <c r="M71" i="6" s="1" a="1"/>
  <c r="M71" i="6" s="1"/>
  <c r="U71" i="6" s="1"/>
  <c r="W71" i="6" s="1"/>
  <c r="M62" i="6"/>
  <c r="I93" i="6"/>
  <c r="M93" i="6" s="1"/>
  <c r="V19" i="6"/>
  <c r="L85" i="6" s="1"/>
  <c r="V7" i="6"/>
  <c r="L73" i="6" s="1"/>
  <c r="C57" i="6" a="1"/>
  <c r="C57" i="6" s="1"/>
  <c r="C60" i="6" s="1"/>
  <c r="V8" i="6"/>
  <c r="L74" i="6" s="1"/>
  <c r="U8" i="6"/>
  <c r="V9" i="6"/>
  <c r="L75" i="6" s="1"/>
  <c r="V13" i="6"/>
  <c r="L79" i="6" s="1"/>
  <c r="V12" i="6"/>
  <c r="L78" i="6" s="1"/>
  <c r="V14" i="6"/>
  <c r="L80" i="6" s="1"/>
  <c r="V15" i="6"/>
  <c r="L81" i="6" s="1"/>
  <c r="I94" i="6"/>
  <c r="M94" i="6" s="1"/>
  <c r="P83" i="6"/>
  <c r="P78" i="6"/>
  <c r="P77" i="6"/>
  <c r="P76" i="6"/>
  <c r="P75" i="6"/>
  <c r="P81" i="6"/>
  <c r="P79" i="6"/>
  <c r="P71" i="6"/>
  <c r="P74" i="6"/>
  <c r="P80" i="6"/>
  <c r="P85" i="6"/>
  <c r="P73" i="6"/>
  <c r="P82" i="6"/>
  <c r="P84" i="6"/>
  <c r="P72" i="6"/>
  <c r="V17" i="6"/>
  <c r="L83" i="6" s="1"/>
  <c r="V16" i="6"/>
  <c r="L82" i="6" s="1"/>
  <c r="C59" i="6"/>
  <c r="N76" i="6" l="1"/>
  <c r="Q76" i="6" s="1"/>
  <c r="N73" i="6"/>
  <c r="Q73" i="6" s="1"/>
  <c r="M73" i="6" a="1"/>
  <c r="M73" i="6" s="1"/>
  <c r="U73" i="6" s="1"/>
  <c r="W73" i="6" s="1"/>
  <c r="N77" i="6"/>
  <c r="Q77" i="6" s="1"/>
  <c r="M79" i="6" a="1"/>
  <c r="M79" i="6" s="1"/>
  <c r="U79" i="6" s="1"/>
  <c r="W79" i="6" s="1"/>
  <c r="N85" i="6"/>
  <c r="Q85" i="6" s="1"/>
  <c r="J90" i="6"/>
  <c r="N91" i="6" s="1"/>
  <c r="C62" i="6"/>
  <c r="N97" i="6" s="1"/>
  <c r="T97" i="6" s="1"/>
  <c r="M80" i="6" a="1"/>
  <c r="M80" i="6" s="1"/>
  <c r="U80" i="6" s="1"/>
  <c r="W80" i="6" s="1"/>
  <c r="N72" i="6"/>
  <c r="Q72" i="6" s="1"/>
  <c r="N71" i="6"/>
  <c r="Q71" i="6" s="1"/>
  <c r="N79" i="6"/>
  <c r="Q79" i="6" s="1"/>
  <c r="N75" i="6"/>
  <c r="Q75" i="6" s="1"/>
  <c r="M74" i="6" a="1"/>
  <c r="M74" i="6" s="1"/>
  <c r="U74" i="6" s="1"/>
  <c r="W74" i="6" s="1"/>
  <c r="M72" i="6" a="1"/>
  <c r="M72" i="6" s="1"/>
  <c r="U72" i="6" s="1"/>
  <c r="W72" i="6" s="1"/>
  <c r="N74" i="6"/>
  <c r="Q74" i="6" s="1"/>
  <c r="N81" i="6"/>
  <c r="Q81" i="6" s="1"/>
  <c r="N78" i="6"/>
  <c r="Q78" i="6" s="1"/>
  <c r="N80" i="6"/>
  <c r="Q80" i="6" s="1"/>
  <c r="M75" i="6" a="1"/>
  <c r="M75" i="6" s="1"/>
  <c r="U75" i="6" s="1"/>
  <c r="W75" i="6" s="1"/>
  <c r="M76" i="6" a="1"/>
  <c r="M76" i="6" s="1"/>
  <c r="U76" i="6" s="1"/>
  <c r="W76" i="6" s="1"/>
  <c r="N82" i="6"/>
  <c r="Q82" i="6" s="1"/>
  <c r="N84" i="6"/>
  <c r="Q84" i="6" s="1"/>
  <c r="M77" i="6" a="1"/>
  <c r="M77" i="6" s="1"/>
  <c r="U77" i="6" s="1"/>
  <c r="W77" i="6" s="1"/>
  <c r="M78" i="6" a="1"/>
  <c r="M78" i="6" s="1"/>
  <c r="U78" i="6" s="1"/>
  <c r="W78" i="6" s="1"/>
  <c r="N83" i="6"/>
  <c r="Q83" i="6" s="1"/>
  <c r="AC27" i="6"/>
  <c r="AC28" i="6"/>
  <c r="AC29" i="6"/>
  <c r="AC30" i="6"/>
  <c r="AC31" i="6"/>
  <c r="AC32" i="6"/>
  <c r="AC33" i="6"/>
  <c r="AC34" i="6"/>
  <c r="AC35" i="6"/>
  <c r="AC26" i="6"/>
  <c r="AB27" i="6"/>
  <c r="AB28" i="6"/>
  <c r="AB29" i="6"/>
  <c r="AB30" i="6"/>
  <c r="AB31" i="6"/>
  <c r="AB32" i="6"/>
  <c r="AB33" i="6"/>
  <c r="AB34" i="6"/>
  <c r="AB35" i="6"/>
  <c r="AB26" i="6"/>
  <c r="AA27" i="6"/>
  <c r="AA28" i="6"/>
  <c r="AA29" i="6"/>
  <c r="AA30" i="6"/>
  <c r="AA31" i="6"/>
  <c r="AA32" i="6"/>
  <c r="AA33" i="6"/>
  <c r="AA34" i="6"/>
  <c r="AA35" i="6"/>
  <c r="AA26" i="6"/>
  <c r="J64" i="6"/>
  <c r="N64" i="6" s="1"/>
  <c r="J63" i="6"/>
  <c r="N63" i="6" s="1"/>
  <c r="N62" i="6"/>
  <c r="S65" i="6"/>
  <c r="Q64" i="6"/>
  <c r="Q95" i="6" s="1"/>
  <c r="O64" i="6"/>
  <c r="O95" i="6" s="1"/>
  <c r="Q63" i="6"/>
  <c r="Q94" i="6" s="1"/>
  <c r="O63" i="6"/>
  <c r="O94" i="6" s="1"/>
  <c r="Q62" i="6"/>
  <c r="Q93" i="6" s="1"/>
  <c r="O62" i="6"/>
  <c r="O93" i="6" s="1"/>
  <c r="K54" i="6"/>
  <c r="K53" i="6"/>
  <c r="K52" i="6"/>
  <c r="K51" i="6"/>
  <c r="K50" i="6"/>
  <c r="K49" i="6"/>
  <c r="I49" i="6"/>
  <c r="K48" i="6"/>
  <c r="I48" i="6"/>
  <c r="K47" i="6"/>
  <c r="I47" i="6"/>
  <c r="K46" i="6"/>
  <c r="I46" i="6"/>
  <c r="K45" i="6"/>
  <c r="I45" i="6"/>
  <c r="K44" i="6"/>
  <c r="I44" i="6"/>
  <c r="K43" i="6"/>
  <c r="I43" i="6"/>
  <c r="K42" i="6"/>
  <c r="I42" i="6"/>
  <c r="K41" i="6"/>
  <c r="I41" i="6"/>
  <c r="K40" i="6"/>
  <c r="I40" i="6"/>
  <c r="AD35" i="6"/>
  <c r="AD34" i="6"/>
  <c r="J79" i="6" s="1"/>
  <c r="AD33" i="6"/>
  <c r="J78" i="6" s="1"/>
  <c r="AD32" i="6"/>
  <c r="J77" i="6" s="1"/>
  <c r="AD31" i="6"/>
  <c r="J76" i="6" s="1"/>
  <c r="C36" i="6"/>
  <c r="V54" i="6" s="1"/>
  <c r="AD30" i="6"/>
  <c r="J75" i="6" s="1"/>
  <c r="AD29" i="6"/>
  <c r="J74" i="6" s="1"/>
  <c r="AD28" i="6"/>
  <c r="AD27" i="6"/>
  <c r="AD26" i="6"/>
  <c r="J71" i="6" s="1"/>
  <c r="U19" i="6"/>
  <c r="L54" i="6" s="1"/>
  <c r="T19" i="6"/>
  <c r="E22" i="6"/>
  <c r="D22" i="6"/>
  <c r="U18" i="6"/>
  <c r="L53" i="6" s="1"/>
  <c r="T18" i="6"/>
  <c r="U17" i="6"/>
  <c r="L52" i="6" s="1"/>
  <c r="T17" i="6"/>
  <c r="U16" i="6"/>
  <c r="L51" i="6" s="1"/>
  <c r="T16" i="6"/>
  <c r="U15" i="6"/>
  <c r="L50" i="6" s="1"/>
  <c r="T15" i="6"/>
  <c r="U14" i="6"/>
  <c r="L49" i="6" s="1"/>
  <c r="T14" i="6"/>
  <c r="U13" i="6"/>
  <c r="L48" i="6" s="1"/>
  <c r="T13" i="6"/>
  <c r="U12" i="6"/>
  <c r="L47" i="6" s="1"/>
  <c r="T12" i="6"/>
  <c r="U11" i="6"/>
  <c r="L46" i="6" s="1"/>
  <c r="T11" i="6"/>
  <c r="U10" i="6"/>
  <c r="L45" i="6" s="1"/>
  <c r="T10" i="6"/>
  <c r="U9" i="6"/>
  <c r="L44" i="6" s="1"/>
  <c r="T9" i="6"/>
  <c r="L43" i="6"/>
  <c r="T8" i="6"/>
  <c r="U7" i="6"/>
  <c r="L42" i="6" s="1"/>
  <c r="T7" i="6"/>
  <c r="U6" i="6"/>
  <c r="L41" i="6" s="1"/>
  <c r="T6" i="6"/>
  <c r="L40" i="6"/>
  <c r="T5" i="6"/>
  <c r="U4" i="6"/>
  <c r="V4" i="6" s="1"/>
  <c r="U3" i="6"/>
  <c r="N66" i="6" l="1"/>
  <c r="T66" i="6" s="1"/>
  <c r="J59" i="6"/>
  <c r="N60" i="6" s="1"/>
  <c r="C61" i="6"/>
  <c r="J60" i="6" s="1"/>
  <c r="S83" i="6"/>
  <c r="V83" i="6" s="1"/>
  <c r="P62" i="6"/>
  <c r="V86" i="6" a="1"/>
  <c r="V86" i="6" s="1"/>
  <c r="N53" i="6"/>
  <c r="Q53" i="6" s="1"/>
  <c r="N42" i="6"/>
  <c r="Q42" i="6" s="1"/>
  <c r="N47" i="6"/>
  <c r="Q47" i="6" s="1"/>
  <c r="N48" i="6"/>
  <c r="Q48" i="6" s="1"/>
  <c r="N51" i="6"/>
  <c r="Q51" i="6" s="1"/>
  <c r="N45" i="6"/>
  <c r="Q45" i="6" s="1"/>
  <c r="N44" i="6"/>
  <c r="Q44" i="6" s="1"/>
  <c r="N50" i="6"/>
  <c r="Q50" i="6" s="1"/>
  <c r="P94" i="6"/>
  <c r="R94" i="6"/>
  <c r="P95" i="6"/>
  <c r="R95" i="6"/>
  <c r="S95" i="6" s="1"/>
  <c r="T95" i="6" s="1"/>
  <c r="J49" i="6"/>
  <c r="S49" i="6" s="1"/>
  <c r="J80" i="6"/>
  <c r="N46" i="6"/>
  <c r="Q46" i="6" s="1"/>
  <c r="N52" i="6"/>
  <c r="Q52" i="6" s="1"/>
  <c r="J41" i="6"/>
  <c r="S41" i="6" s="1"/>
  <c r="J72" i="6"/>
  <c r="P63" i="6"/>
  <c r="J73" i="6"/>
  <c r="J42" i="6"/>
  <c r="S42" i="6" s="1"/>
  <c r="R93" i="6"/>
  <c r="S93" i="6" s="1"/>
  <c r="P93" i="6"/>
  <c r="N41" i="6"/>
  <c r="Q41" i="6" s="1"/>
  <c r="N40" i="6"/>
  <c r="Q40" i="6" s="1"/>
  <c r="N54" i="6"/>
  <c r="Q54" i="6" s="1"/>
  <c r="N43" i="6"/>
  <c r="Q43" i="6" s="1"/>
  <c r="N49" i="6"/>
  <c r="Q49" i="6" s="1"/>
  <c r="J47" i="6"/>
  <c r="S47" i="6" s="1"/>
  <c r="J40" i="6"/>
  <c r="S40" i="6" s="1"/>
  <c r="J48" i="6"/>
  <c r="S48" i="6" s="1"/>
  <c r="J45" i="6"/>
  <c r="S45" i="6" s="1"/>
  <c r="J46" i="6"/>
  <c r="S46" i="6" s="1"/>
  <c r="J44" i="6"/>
  <c r="S44" i="6" s="1"/>
  <c r="J43" i="6"/>
  <c r="S43" i="6" s="1"/>
  <c r="R64" i="6"/>
  <c r="S64" i="6" s="1"/>
  <c r="T64" i="6" s="1"/>
  <c r="P64" i="6"/>
  <c r="R63" i="6"/>
  <c r="R62" i="6"/>
  <c r="N59" i="6" l="1"/>
  <c r="J58" i="6"/>
  <c r="J91" i="6"/>
  <c r="N67" i="6"/>
  <c r="T67" i="6" s="1"/>
  <c r="Z60" i="6" s="1"/>
  <c r="AB60" i="6" s="1"/>
  <c r="T59" i="6"/>
  <c r="P61" i="6"/>
  <c r="S60" i="6" s="1"/>
  <c r="V55" i="6" a="1"/>
  <c r="V55" i="6" s="1"/>
  <c r="P92" i="6"/>
  <c r="Q91" i="6" s="1"/>
  <c r="T93" i="6"/>
  <c r="N65" i="6"/>
  <c r="S94" i="6"/>
  <c r="T94" i="6" s="1"/>
  <c r="M48" i="6" a="1"/>
  <c r="M48" i="6" s="1"/>
  <c r="U48" i="6" s="1"/>
  <c r="M49" i="6" a="1"/>
  <c r="M49" i="6" s="1"/>
  <c r="U49" i="6" s="1"/>
  <c r="S63" i="6"/>
  <c r="T63" i="6" s="1"/>
  <c r="S62" i="6"/>
  <c r="N98" i="6" l="1"/>
  <c r="T98" i="6" s="1"/>
  <c r="Z92" i="6" s="1"/>
  <c r="AB92" i="6" s="1"/>
  <c r="N90" i="6"/>
  <c r="T90" i="6" s="1"/>
  <c r="J89" i="6"/>
  <c r="Z91" i="6"/>
  <c r="Z59" i="6"/>
  <c r="AB59" i="6" s="1"/>
  <c r="N96" i="6"/>
  <c r="AB91" i="6"/>
  <c r="Z94" i="6"/>
  <c r="S91" i="6"/>
  <c r="S92" i="6"/>
  <c r="T91" i="6" s="1"/>
  <c r="T96" i="6" s="1"/>
  <c r="Q60" i="6"/>
  <c r="S61" i="6"/>
  <c r="T62" i="6"/>
  <c r="Z62" i="6" s="1"/>
  <c r="M47" i="6" a="1"/>
  <c r="M47" i="6" s="1"/>
  <c r="U47" i="6" s="1"/>
  <c r="Z93" i="6" l="1"/>
  <c r="T60" i="6"/>
  <c r="T65" i="6" s="1"/>
  <c r="AB93" i="6" l="1"/>
  <c r="W90" i="6"/>
  <c r="W92" i="6" s="1"/>
  <c r="AA92" i="6" s="1"/>
  <c r="Z95" i="6"/>
  <c r="W59" i="6"/>
  <c r="W61" i="6" s="1"/>
  <c r="Z61" i="6"/>
  <c r="M41" i="6" a="1"/>
  <c r="M41" i="6" s="1"/>
  <c r="U41" i="6" s="1"/>
  <c r="M42" i="6" a="1"/>
  <c r="M42" i="6" s="1"/>
  <c r="U42" i="6" s="1"/>
  <c r="M45" i="6" a="1"/>
  <c r="M45" i="6" s="1"/>
  <c r="U45" i="6" s="1"/>
  <c r="M46" i="6" a="1"/>
  <c r="M46" i="6" s="1"/>
  <c r="U46" i="6" s="1"/>
  <c r="M44" i="6" a="1"/>
  <c r="M44" i="6" s="1"/>
  <c r="U44" i="6" s="1"/>
  <c r="M43" i="6" a="1"/>
  <c r="M43" i="6" s="1"/>
  <c r="U43" i="6" s="1"/>
  <c r="M40" i="6" a="1"/>
  <c r="M40" i="6" s="1"/>
  <c r="U40" i="6" s="1"/>
  <c r="AA59" i="6" l="1"/>
  <c r="AA60" i="6"/>
  <c r="AA91" i="6"/>
  <c r="AA94" i="6"/>
  <c r="AA93" i="6"/>
  <c r="AA61" i="6"/>
  <c r="AB61" i="6"/>
  <c r="Z63" i="6"/>
  <c r="AA62" i="6"/>
  <c r="S52" i="6"/>
  <c r="V52" i="6" s="1"/>
  <c r="AA95" i="6" l="1"/>
  <c r="AB95" i="6" s="1"/>
  <c r="AA63" i="6"/>
  <c r="AB63" i="6" s="1"/>
  <c r="AB62" i="6" s="1"/>
  <c r="AB9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<sst xmlns="http://schemas.openxmlformats.org/spreadsheetml/2006/main" count="482" uniqueCount="230">
  <si>
    <t>GRAVA 1</t>
  </si>
  <si>
    <t>GRAVILLA 2</t>
  </si>
  <si>
    <t>ARENA 3</t>
  </si>
  <si>
    <t>G5</t>
  </si>
  <si>
    <t>Resistencia</t>
  </si>
  <si>
    <t>G15</t>
  </si>
  <si>
    <t>APERTURA</t>
  </si>
  <si>
    <t>RETENIDO</t>
  </si>
  <si>
    <t>PASA</t>
  </si>
  <si>
    <t>Probabilidad defectuoso</t>
  </si>
  <si>
    <t>[mm]</t>
  </si>
  <si>
    <t>ASTM</t>
  </si>
  <si>
    <t>[g]</t>
  </si>
  <si>
    <t>[%]</t>
  </si>
  <si>
    <t>TMA</t>
  </si>
  <si>
    <t>3''</t>
  </si>
  <si>
    <t>Elemento a homigonar</t>
  </si>
  <si>
    <t>Zapata de Fundación</t>
  </si>
  <si>
    <t>2 1/2''</t>
  </si>
  <si>
    <t>Condiciones de ejecución en obra</t>
  </si>
  <si>
    <t>Buenas</t>
  </si>
  <si>
    <t>2''</t>
  </si>
  <si>
    <t>Tipo de cemento</t>
  </si>
  <si>
    <t>Melón Extra</t>
  </si>
  <si>
    <t>1 1/2''</t>
  </si>
  <si>
    <t>Clase de exposición de la obra</t>
  </si>
  <si>
    <t>C0</t>
  </si>
  <si>
    <t>1''</t>
  </si>
  <si>
    <t>Arena</t>
  </si>
  <si>
    <t>3/4''</t>
  </si>
  <si>
    <t>Gravilla</t>
  </si>
  <si>
    <t>1/2''</t>
  </si>
  <si>
    <t>Grava</t>
  </si>
  <si>
    <t>3/8''</t>
  </si>
  <si>
    <t>1/4''</t>
  </si>
  <si>
    <t>N°4</t>
  </si>
  <si>
    <t>N°8</t>
  </si>
  <si>
    <t>ABORCIÓN</t>
  </si>
  <si>
    <t>N°16</t>
  </si>
  <si>
    <t>HUMEDAD</t>
  </si>
  <si>
    <t>N°30</t>
  </si>
  <si>
    <t>N°50</t>
  </si>
  <si>
    <t>DENSIDAD</t>
  </si>
  <si>
    <t>N°100</t>
  </si>
  <si>
    <t>RESIDUO</t>
  </si>
  <si>
    <t>TOTAL</t>
  </si>
  <si>
    <t>Curva Sugerida por la Norma</t>
  </si>
  <si>
    <t>Tamiz mm</t>
  </si>
  <si>
    <t>80-A</t>
  </si>
  <si>
    <t>80-B</t>
  </si>
  <si>
    <t>80-C</t>
  </si>
  <si>
    <t>80-D</t>
  </si>
  <si>
    <t>40-A</t>
  </si>
  <si>
    <t>40-B</t>
  </si>
  <si>
    <t>40-C</t>
  </si>
  <si>
    <t>40-D</t>
  </si>
  <si>
    <t>20-A</t>
  </si>
  <si>
    <t>20-B</t>
  </si>
  <si>
    <t>20-C</t>
  </si>
  <si>
    <t>20-D</t>
  </si>
  <si>
    <t>Tamiz NCh</t>
  </si>
  <si>
    <t>Tamiz Lab</t>
  </si>
  <si>
    <t>Granulometria Ar Comb</t>
  </si>
  <si>
    <t>Granulometria Interpolacion</t>
  </si>
  <si>
    <t>-</t>
  </si>
  <si>
    <t>Ponderaciones Iniciales</t>
  </si>
  <si>
    <t>Granulometria Optimizda</t>
  </si>
  <si>
    <t>Combinacion Inicial</t>
  </si>
  <si>
    <t>Objetivo</t>
  </si>
  <si>
    <t>10-A</t>
  </si>
  <si>
    <t>10-B</t>
  </si>
  <si>
    <t>10_C</t>
  </si>
  <si>
    <t>10-D</t>
  </si>
  <si>
    <t>Promedio</t>
  </si>
  <si>
    <t>Curva 10</t>
  </si>
  <si>
    <t>Suma</t>
  </si>
  <si>
    <t>Relacion Agua Cemento</t>
  </si>
  <si>
    <t>Condiciones de Obra buenas</t>
  </si>
  <si>
    <t>s</t>
  </si>
  <si>
    <t>t</t>
  </si>
  <si>
    <t>fc</t>
  </si>
  <si>
    <t>Mpa</t>
  </si>
  <si>
    <t>fm</t>
  </si>
  <si>
    <t>MPa</t>
  </si>
  <si>
    <t>PSI</t>
  </si>
  <si>
    <t>La tabla Tabla 6.3.4 expone las distintas relaciones agua cemento, por lo tanto, se puede hacer la siguiente interpolacion lineal</t>
  </si>
  <si>
    <t>w/c</t>
  </si>
  <si>
    <t>min</t>
  </si>
  <si>
    <t>Solicitud por exposicion segun NCh 170-180</t>
  </si>
  <si>
    <t>Por lo tanto la relacion agua cemento a usar es</t>
  </si>
  <si>
    <t>c</t>
  </si>
  <si>
    <t>lb/yd3</t>
  </si>
  <si>
    <t>Volumen</t>
  </si>
  <si>
    <t>m3</t>
  </si>
  <si>
    <t>w</t>
  </si>
  <si>
    <t>kg/m3</t>
  </si>
  <si>
    <t>k</t>
  </si>
  <si>
    <t>Material</t>
  </si>
  <si>
    <t>Disificacion de Aridos SSS (kg/m3)</t>
  </si>
  <si>
    <t>Agua Absorcion (kg/m3)</t>
  </si>
  <si>
    <t>Cemento</t>
  </si>
  <si>
    <t>Agua de Amasado</t>
  </si>
  <si>
    <t>Agua de Abs de Aridos</t>
  </si>
  <si>
    <t>Peso Hormigon (kg)</t>
  </si>
  <si>
    <t>Absorcion</t>
  </si>
  <si>
    <t>Humedad</t>
  </si>
  <si>
    <t>Peso Seco</t>
  </si>
  <si>
    <t>Dosificacion Aridos Huemdos (kg/m3)</t>
  </si>
  <si>
    <t>Diferencia</t>
  </si>
  <si>
    <t>Agua Total</t>
  </si>
  <si>
    <t>CEMENTO</t>
  </si>
  <si>
    <t>Valor</t>
  </si>
  <si>
    <t>Opciones</t>
  </si>
  <si>
    <t>Curva 80</t>
  </si>
  <si>
    <t>Curva 40</t>
  </si>
  <si>
    <t>Curva 20</t>
  </si>
  <si>
    <t>Ponderaciones Finales Thomson</t>
  </si>
  <si>
    <t>Granulometria Sugerida</t>
  </si>
  <si>
    <t>Porcentaje Retenido</t>
  </si>
  <si>
    <t>Superior</t>
  </si>
  <si>
    <t>Inferior</t>
  </si>
  <si>
    <t>Cumple Tarantula</t>
  </si>
  <si>
    <t>G15, G20, G25, G35, G40</t>
  </si>
  <si>
    <t>1%, 2.5%, 5%, 10%, 20%</t>
  </si>
  <si>
    <t>9.5, 12.5, 19, 25, 37.5, 50, 75</t>
  </si>
  <si>
    <t>Regulares, Medias, Buenas, Muy buenas</t>
  </si>
  <si>
    <t>Slump (in.)</t>
  </si>
  <si>
    <t>1 to 2</t>
  </si>
  <si>
    <t>3 to 4</t>
  </si>
  <si>
    <t>5 to 6</t>
  </si>
  <si>
    <t>6 to 7</t>
  </si>
  <si>
    <t>More than 7</t>
  </si>
  <si>
    <t>Approximate entrapped air content in non-air-entrained concrete, %</t>
  </si>
  <si>
    <t>Defectuoso</t>
  </si>
  <si>
    <t>% Defectuoso</t>
  </si>
  <si>
    <t>Fc (Mpa)</t>
  </si>
  <si>
    <t>Fm(Mpa)</t>
  </si>
  <si>
    <t>PESO ESPECÍFICO</t>
  </si>
  <si>
    <t>Compressive strength at 28 days, psi</t>
  </si>
  <si>
    <t>Non-air-entrained concrete</t>
  </si>
  <si>
    <t>F0, F1, F2, F3, S0, S1, S2, S3, P0, P1, C0, C1, C2</t>
  </si>
  <si>
    <t>Melón Extra, Melón Especial</t>
  </si>
  <si>
    <t>Exposure Class</t>
  </si>
  <si>
    <t>Max w/c</t>
  </si>
  <si>
    <t>F0</t>
  </si>
  <si>
    <t>F1</t>
  </si>
  <si>
    <t>F2</t>
  </si>
  <si>
    <t>F3</t>
  </si>
  <si>
    <t>S0</t>
  </si>
  <si>
    <t>S1</t>
  </si>
  <si>
    <t>S2</t>
  </si>
  <si>
    <t>S3</t>
  </si>
  <si>
    <t>P0</t>
  </si>
  <si>
    <t>P1</t>
  </si>
  <si>
    <t>C1</t>
  </si>
  <si>
    <t>C2</t>
  </si>
  <si>
    <t>NA</t>
  </si>
  <si>
    <t>Max agregate size</t>
  </si>
  <si>
    <t>inch</t>
  </si>
  <si>
    <t>Slump</t>
  </si>
  <si>
    <t>Construction Type</t>
  </si>
  <si>
    <t>Muro Reforzado</t>
  </si>
  <si>
    <t>Losa</t>
  </si>
  <si>
    <t>Columna</t>
  </si>
  <si>
    <t>Vigas</t>
  </si>
  <si>
    <t>Muro Reforzado, Losa, Columna, Vigas, Zapata de Fundación</t>
  </si>
  <si>
    <t>3/8"</t>
  </si>
  <si>
    <t>1/2"</t>
  </si>
  <si>
    <t>3/4"</t>
  </si>
  <si>
    <t>1"</t>
  </si>
  <si>
    <t>2"</t>
  </si>
  <si>
    <t>3"</t>
  </si>
  <si>
    <t>Max Agregate</t>
  </si>
  <si>
    <t>Funcion Objetivo TMA</t>
  </si>
  <si>
    <t>Correccion por Humedad TMA</t>
  </si>
  <si>
    <t>Factor K TMA</t>
  </si>
  <si>
    <t>Interpolacion TMA</t>
  </si>
  <si>
    <t>Combinacion Final Thomson</t>
  </si>
  <si>
    <t>{ASA</t>
  </si>
  <si>
    <t>Interpolacion Thomson</t>
  </si>
  <si>
    <t>Funcion Objetivo Thomson</t>
  </si>
  <si>
    <t>Factor K Thomson</t>
  </si>
  <si>
    <t>Correccion por Humedad Thomson</t>
  </si>
  <si>
    <t>Delta Tarantula</t>
  </si>
  <si>
    <t>Condicion para eljar la mezcla de los bordes de la tarantula</t>
  </si>
  <si>
    <t>Tarantula</t>
  </si>
  <si>
    <t>Solver Solution</t>
  </si>
  <si>
    <t>Densidad Teorica</t>
  </si>
  <si>
    <t>Densidad real</t>
  </si>
  <si>
    <t>factor</t>
  </si>
  <si>
    <t>Agua</t>
  </si>
  <si>
    <t>Agregados</t>
  </si>
  <si>
    <t>Densidad</t>
  </si>
  <si>
    <t>Teorico</t>
  </si>
  <si>
    <t>Real</t>
  </si>
  <si>
    <t>Corregida</t>
  </si>
  <si>
    <t>Densidad Real</t>
  </si>
  <si>
    <t>Rendimiento</t>
  </si>
  <si>
    <t>aire</t>
  </si>
  <si>
    <t>%</t>
  </si>
  <si>
    <t>Aire</t>
  </si>
  <si>
    <t>GRAVILLA 1</t>
  </si>
  <si>
    <t>GRAVILLA 3</t>
  </si>
  <si>
    <t>GRAVILLA 4</t>
  </si>
  <si>
    <t>37.5</t>
  </si>
  <si>
    <t>4.75</t>
  </si>
  <si>
    <t>2.36</t>
  </si>
  <si>
    <t>1.18</t>
  </si>
  <si>
    <t>0.6</t>
  </si>
  <si>
    <t>0.3</t>
  </si>
  <si>
    <t>0.15</t>
  </si>
  <si>
    <t>GRAVA 2</t>
  </si>
  <si>
    <t>GRAVA 3</t>
  </si>
  <si>
    <t>GRAVA 4</t>
  </si>
  <si>
    <t>ARENA 1</t>
  </si>
  <si>
    <t>ARENA 2</t>
  </si>
  <si>
    <t>ARENA 4</t>
  </si>
  <si>
    <t>Arena 1, Arena 2, Arena 3, Arena 4</t>
  </si>
  <si>
    <t>Gravilla 1, Gravilla 2, Gravilla 3,  Gravilla 4</t>
  </si>
  <si>
    <t>Combinacion Final Banda</t>
  </si>
  <si>
    <t>Ponderaciones Finales Banda</t>
  </si>
  <si>
    <t>2 1/2"</t>
  </si>
  <si>
    <t>1 1/2"</t>
  </si>
  <si>
    <t>1/4"</t>
  </si>
  <si>
    <t>Material Cementicio Sup</t>
  </si>
  <si>
    <t>Porcentaje</t>
  </si>
  <si>
    <t>Fly Ash</t>
  </si>
  <si>
    <t>Grava 1</t>
  </si>
  <si>
    <t>Gravilla 2</t>
  </si>
  <si>
    <t>Arena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</si>
</sst>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"/>
    <numFmt numFmtId="166" formatCode="0.000%"/>
    <numFmt numFmtId="167" formatCode="0.00000"/>
    <numFmt numFmtId="168" formatCode="0.000000"/>
    <numFmt numFmtId="169" formatCode="0.0%"/>
    <numFmt numFmtId="170" formatCode="d\.m"/>
    <numFmt numFmtId="171" formatCode="0.0"/>
  </numFmts>
  <fonts count="18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0"/>
      <color rgb="FF000000"/>
      <name val="Arial"/>
      <family val="2"/>
    </font>
    <font>
      <sz val="10"/>
      <color rgb="FF000000"/>
      <name val="Overpass"/>
    </font>
    <font>
      <sz val="11"/>
      <color rgb="FF000000"/>
      <name val="Overpass"/>
    </font>
    <font>
      <b/>
      <sz val="11"/>
      <color rgb="FF000000"/>
      <name val="Overpass"/>
    </font>
    <font>
      <sz val="10"/>
      <name val="Arial"/>
      <family val="2"/>
    </font>
    <font>
      <sz val="11"/>
      <color rgb="FF000000"/>
      <name val="Arial"/>
      <family val="2"/>
    </font>
    <font>
      <sz val="12"/>
      <color rgb="FF000000"/>
      <name val="Overpass"/>
    </font>
    <font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Overpass"/>
    </font>
    <font>
      <sz val="11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DDEBF7"/>
        <bgColor rgb="FFDDEBF7"/>
      </patternFill>
    </fill>
    <fill>
      <patternFill patternType="solid">
        <fgColor rgb="FFEAD1DC"/>
        <bgColor rgb="FFEAD1DC"/>
      </patternFill>
    </fill>
    <fill>
      <patternFill patternType="solid">
        <fgColor rgb="FF93C47D"/>
        <bgColor rgb="FF93C47D"/>
      </patternFill>
    </fill>
    <fill>
      <patternFill patternType="solid">
        <fgColor rgb="FFD9EAD3"/>
        <bgColor rgb="FFD9EAD3"/>
      </patternFill>
    </fill>
    <fill>
      <patternFill patternType="solid">
        <fgColor rgb="FFF3F3F3"/>
        <bgColor rgb="FFF3F3F3"/>
      </patternFill>
    </fill>
    <fill>
      <patternFill patternType="solid">
        <fgColor rgb="FFCFE2F3"/>
        <bgColor rgb="FFCFE2F3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89999084444715716"/>
        <bgColor theme="5"/>
      </patternFill>
    </fill>
    <fill>
      <patternFill patternType="solid">
        <fgColor rgb="FFEBD1DD"/>
        <bgColor indexed="64"/>
      </patternFill>
    </fill>
    <fill>
      <patternFill patternType="solid">
        <fgColor theme="0" tint="-4.9989318521683403E-2"/>
        <bgColor rgb="FF3C78D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BD1DD"/>
        <bgColor rgb="FFFFD966"/>
      </patternFill>
    </fill>
    <fill>
      <patternFill patternType="solid">
        <fgColor rgb="FF93C57D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rgb="FFEAD1DC"/>
      </patternFill>
    </fill>
    <fill>
      <patternFill patternType="solid">
        <fgColor theme="4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5">
    <xf numFmtId="0" fontId="0" fillId="0" borderId="0" xfId="0"/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9" fontId="5" fillId="0" borderId="6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10" fillId="0" borderId="10" xfId="0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8" fillId="5" borderId="1" xfId="0" applyFont="1" applyFill="1" applyBorder="1" applyAlignment="1">
      <alignment horizontal="center"/>
    </xf>
    <xf numFmtId="9" fontId="3" fillId="0" borderId="1" xfId="0" applyNumberFormat="1" applyFont="1" applyBorder="1" applyAlignment="1">
      <alignment horizontal="center"/>
    </xf>
    <xf numFmtId="0" fontId="3" fillId="16" borderId="10" xfId="0" applyFont="1" applyFill="1" applyBorder="1" applyAlignment="1">
      <alignment horizontal="center"/>
    </xf>
    <xf numFmtId="9" fontId="10" fillId="0" borderId="0" xfId="0" applyNumberFormat="1" applyFont="1" applyAlignment="1">
      <alignment horizontal="center"/>
    </xf>
    <xf numFmtId="9" fontId="12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15" xfId="0" applyNumberFormat="1" applyBorder="1" applyAlignment="1">
      <alignment horizontal="center"/>
    </xf>
    <xf numFmtId="9" fontId="0" fillId="0" borderId="17" xfId="0" applyNumberFormat="1" applyBorder="1" applyAlignment="1">
      <alignment horizontal="center"/>
    </xf>
    <xf numFmtId="9" fontId="0" fillId="0" borderId="18" xfId="0" applyNumberFormat="1" applyBorder="1" applyAlignment="1">
      <alignment horizontal="center"/>
    </xf>
    <xf numFmtId="0" fontId="10" fillId="0" borderId="10" xfId="0" applyFont="1" applyBorder="1" applyAlignment="1">
      <alignment horizontal="center" wrapText="1"/>
    </xf>
    <xf numFmtId="9" fontId="10" fillId="0" borderId="10" xfId="0" applyNumberFormat="1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164" fontId="10" fillId="0" borderId="11" xfId="0" applyNumberFormat="1" applyFont="1" applyBorder="1" applyAlignment="1">
      <alignment horizontal="center"/>
    </xf>
    <xf numFmtId="164" fontId="10" fillId="0" borderId="16" xfId="0" applyNumberFormat="1" applyFont="1" applyBorder="1" applyAlignment="1">
      <alignment horizontal="center"/>
    </xf>
    <xf numFmtId="9" fontId="10" fillId="0" borderId="17" xfId="0" applyNumberFormat="1" applyFont="1" applyBorder="1" applyAlignment="1">
      <alignment horizontal="center"/>
    </xf>
    <xf numFmtId="9" fontId="12" fillId="0" borderId="17" xfId="0" applyNumberFormat="1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" fontId="10" fillId="0" borderId="10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 wrapText="1"/>
    </xf>
    <xf numFmtId="0" fontId="4" fillId="7" borderId="10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10" fontId="0" fillId="0" borderId="10" xfId="1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4" fillId="7" borderId="1" xfId="0" applyFont="1" applyFill="1" applyBorder="1" applyAlignment="1">
      <alignment horizontal="center"/>
    </xf>
    <xf numFmtId="0" fontId="11" fillId="12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center"/>
    </xf>
    <xf numFmtId="0" fontId="11" fillId="14" borderId="1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10" fillId="17" borderId="10" xfId="0" applyFont="1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164" fontId="10" fillId="0" borderId="0" xfId="0" applyNumberFormat="1" applyFont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165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0" fontId="10" fillId="0" borderId="0" xfId="0" applyFont="1" applyAlignment="1">
      <alignment horizontal="center" wrapText="1"/>
    </xf>
    <xf numFmtId="10" fontId="0" fillId="0" borderId="10" xfId="1" applyNumberFormat="1" applyFont="1" applyFill="1" applyBorder="1" applyAlignment="1">
      <alignment horizontal="center" vertical="center"/>
    </xf>
    <xf numFmtId="10" fontId="10" fillId="0" borderId="10" xfId="0" applyNumberFormat="1" applyFont="1" applyBorder="1" applyAlignment="1">
      <alignment horizontal="center"/>
    </xf>
    <xf numFmtId="9" fontId="0" fillId="0" borderId="10" xfId="1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0" fillId="16" borderId="10" xfId="0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9" fontId="11" fillId="0" borderId="0" xfId="0" applyNumberFormat="1" applyFont="1" applyAlignment="1">
      <alignment horizontal="center"/>
    </xf>
    <xf numFmtId="0" fontId="15" fillId="0" borderId="10" xfId="0" applyFont="1" applyBorder="1" applyAlignment="1">
      <alignment horizontal="center" vertical="top"/>
    </xf>
    <xf numFmtId="9" fontId="4" fillId="0" borderId="10" xfId="1" applyFont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23" xfId="0" applyBorder="1" applyAlignment="1">
      <alignment horizontal="center"/>
    </xf>
    <xf numFmtId="0" fontId="6" fillId="0" borderId="10" xfId="0" applyFon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0" fontId="11" fillId="18" borderId="10" xfId="0" applyFont="1" applyFill="1" applyBorder="1" applyAlignment="1">
      <alignment horizontal="center"/>
    </xf>
    <xf numFmtId="0" fontId="3" fillId="18" borderId="10" xfId="0" applyFont="1" applyFill="1" applyBorder="1" applyAlignment="1">
      <alignment horizontal="center"/>
    </xf>
    <xf numFmtId="0" fontId="0" fillId="18" borderId="10" xfId="0" applyFill="1" applyBorder="1" applyAlignment="1">
      <alignment horizontal="center" vertical="center"/>
    </xf>
    <xf numFmtId="10" fontId="11" fillId="0" borderId="10" xfId="1" applyNumberFormat="1" applyFon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0" fontId="4" fillId="7" borderId="24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166" fontId="3" fillId="0" borderId="10" xfId="1" applyNumberFormat="1" applyFont="1" applyBorder="1" applyAlignment="1">
      <alignment horizontal="center"/>
    </xf>
    <xf numFmtId="1" fontId="0" fillId="0" borderId="10" xfId="1" applyNumberFormat="1" applyFont="1" applyBorder="1" applyAlignment="1">
      <alignment horizontal="center"/>
    </xf>
    <xf numFmtId="167" fontId="0" fillId="0" borderId="10" xfId="0" applyNumberFormat="1" applyBorder="1" applyAlignment="1">
      <alignment horizontal="center" wrapText="1"/>
    </xf>
    <xf numFmtId="165" fontId="0" fillId="0" borderId="10" xfId="0" applyNumberFormat="1" applyBorder="1" applyAlignment="1">
      <alignment horizontal="center"/>
    </xf>
    <xf numFmtId="0" fontId="0" fillId="0" borderId="10" xfId="0" applyBorder="1" applyAlignment="1">
      <alignment wrapText="1"/>
    </xf>
    <xf numFmtId="165" fontId="2" fillId="0" borderId="10" xfId="0" applyNumberFormat="1" applyFont="1" applyBorder="1" applyAlignment="1">
      <alignment horizontal="center"/>
    </xf>
    <xf numFmtId="10" fontId="0" fillId="0" borderId="10" xfId="1" applyNumberFormat="1" applyFont="1" applyBorder="1"/>
    <xf numFmtId="10" fontId="0" fillId="0" borderId="0" xfId="1" applyNumberFormat="1" applyFont="1" applyAlignment="1">
      <alignment horizontal="center"/>
    </xf>
    <xf numFmtId="168" fontId="0" fillId="0" borderId="10" xfId="0" applyNumberFormat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16" fillId="0" borderId="0" xfId="0" applyFont="1"/>
    <xf numFmtId="0" fontId="5" fillId="0" borderId="0" xfId="0" applyFont="1"/>
    <xf numFmtId="0" fontId="6" fillId="3" borderId="6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9" fontId="5" fillId="0" borderId="8" xfId="0" applyNumberFormat="1" applyFont="1" applyBorder="1" applyAlignment="1">
      <alignment horizontal="center"/>
    </xf>
    <xf numFmtId="169" fontId="5" fillId="0" borderId="6" xfId="0" applyNumberFormat="1" applyFont="1" applyBorder="1" applyAlignment="1">
      <alignment horizontal="center"/>
    </xf>
    <xf numFmtId="170" fontId="6" fillId="0" borderId="8" xfId="0" applyNumberFormat="1" applyFont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169" fontId="6" fillId="2" borderId="4" xfId="0" applyNumberFormat="1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6" fillId="2" borderId="7" xfId="0" applyFont="1" applyFill="1" applyBorder="1" applyAlignment="1">
      <alignment horizontal="center" vertical="center"/>
    </xf>
    <xf numFmtId="166" fontId="3" fillId="0" borderId="0" xfId="1" applyNumberFormat="1" applyFont="1" applyBorder="1" applyAlignment="1">
      <alignment horizontal="center"/>
    </xf>
    <xf numFmtId="0" fontId="17" fillId="0" borderId="10" xfId="0" applyFont="1" applyBorder="1" applyAlignment="1">
      <alignment horizontal="center" vertical="top"/>
    </xf>
    <xf numFmtId="0" fontId="6" fillId="0" borderId="1" xfId="0" applyFont="1" applyBorder="1"/>
    <xf numFmtId="0" fontId="6" fillId="0" borderId="24" xfId="0" applyFont="1" applyBorder="1"/>
    <xf numFmtId="0" fontId="14" fillId="0" borderId="19" xfId="0" applyFont="1" applyBorder="1"/>
    <xf numFmtId="0" fontId="6" fillId="0" borderId="19" xfId="0" applyFont="1" applyBorder="1"/>
    <xf numFmtId="0" fontId="6" fillId="2" borderId="10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10" fontId="5" fillId="0" borderId="10" xfId="0" applyNumberFormat="1" applyFont="1" applyBorder="1" applyAlignment="1">
      <alignment horizontal="center"/>
    </xf>
    <xf numFmtId="171" fontId="5" fillId="0" borderId="10" xfId="0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10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10" fontId="0" fillId="0" borderId="15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 vertical="center"/>
    </xf>
    <xf numFmtId="10" fontId="0" fillId="0" borderId="15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6" fillId="6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wrapText="1"/>
    </xf>
    <xf numFmtId="0" fontId="6" fillId="2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9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6" fillId="0" borderId="1" xfId="0" applyFont="1" applyBorder="1" applyAlignment="1">
      <alignment horizontal="center"/>
    </xf>
    <xf numFmtId="166" fontId="11" fillId="0" borderId="10" xfId="0" applyNumberFormat="1" applyFon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11" fillId="15" borderId="10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166" fontId="3" fillId="0" borderId="0" xfId="1" applyNumberFormat="1" applyFont="1" applyBorder="1" applyAlignment="1">
      <alignment horizontal="center"/>
    </xf>
    <xf numFmtId="9" fontId="0" fillId="0" borderId="10" xfId="1" applyFont="1" applyBorder="1" applyAlignment="1">
      <alignment horizontal="center"/>
    </xf>
    <xf numFmtId="9" fontId="11" fillId="0" borderId="10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1" fillId="16" borderId="10" xfId="0" applyFont="1" applyFill="1" applyBorder="1" applyAlignment="1">
      <alignment horizontal="center"/>
    </xf>
    <xf numFmtId="0" fontId="10" fillId="0" borderId="10" xfId="0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 wrapText="1"/>
    </xf>
    <xf numFmtId="0" fontId="14" fillId="0" borderId="19" xfId="0" applyFont="1" applyBorder="1" applyAlignment="1">
      <alignment horizontal="center"/>
    </xf>
    <xf numFmtId="0" fontId="0" fillId="0" borderId="19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9" fontId="0" fillId="0" borderId="19" xfId="0" applyNumberFormat="1" applyBorder="1" applyAlignment="1">
      <alignment horizontal="center" wrapText="1"/>
    </xf>
    <xf numFmtId="9" fontId="0" fillId="0" borderId="21" xfId="0" applyNumberFormat="1" applyBorder="1" applyAlignment="1">
      <alignment horizontal="center" wrapText="1"/>
    </xf>
    <xf numFmtId="0" fontId="14" fillId="0" borderId="20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0" xfId="0" applyAlignment="1">
      <alignment horizontal="center"/>
    </xf>
    <xf numFmtId="167" fontId="0" fillId="0" borderId="10" xfId="1" applyNumberFormat="1" applyFont="1" applyBorder="1" applyAlignment="1">
      <alignment horizontal="center"/>
    </xf>
    <xf numFmtId="0" fontId="7" fillId="0" borderId="3" xfId="0" applyFont="1" applyBorder="1"/>
    <xf numFmtId="0" fontId="6" fillId="4" borderId="1" xfId="0" applyFont="1" applyFill="1" applyBorder="1" applyAlignment="1">
      <alignment horizontal="center"/>
    </xf>
    <xf numFmtId="0" fontId="7" fillId="0" borderId="2" xfId="0" applyFont="1" applyBorder="1"/>
    <xf numFmtId="0" fontId="6" fillId="2" borderId="2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93C57D"/>
      <color rgb="FFEBD1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aseline="0"/>
              <a:t>Optimización Fuller - Thompson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Objetivo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PLANTILLA!$I$71:$I$80</c:f>
              <c:numCache>
                <c:formatCode>General</c:formatCode>
                <c:ptCount val="10"/>
                <c:pt idx="0">
                  <c:v>80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5</c:v>
                </c:pt>
                <c:pt idx="5">
                  <c:v>2.5</c:v>
                </c:pt>
                <c:pt idx="6">
                  <c:v>1.25</c:v>
                </c:pt>
                <c:pt idx="7">
                  <c:v>0.63</c:v>
                </c:pt>
                <c:pt idx="8">
                  <c:v>0.315</c:v>
                </c:pt>
                <c:pt idx="9">
                  <c:v>0.16</c:v>
                </c:pt>
              </c:numCache>
            </c:numRef>
          </c:xVal>
          <c:yVal>
            <c:numRef>
              <c:f>PLANTILLA!$J$71:$J$80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0.63</c:v>
                </c:pt>
                <c:pt idx="5">
                  <c:v>0.49000000000000005</c:v>
                </c:pt>
                <c:pt idx="6">
                  <c:v>0.38</c:v>
                </c:pt>
                <c:pt idx="7">
                  <c:v>0.20750000000000002</c:v>
                </c:pt>
                <c:pt idx="8">
                  <c:v>0.11</c:v>
                </c:pt>
                <c:pt idx="9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8D-FA41-8DD0-15CF5C574EBE}"/>
            </c:ext>
          </c:extLst>
        </c:ser>
        <c:ser>
          <c:idx val="1"/>
          <c:order val="1"/>
          <c:tx>
            <c:v>Optimizada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PLANTILLA!$I$71:$I$80</c:f>
              <c:numCache>
                <c:formatCode>General</c:formatCode>
                <c:ptCount val="10"/>
                <c:pt idx="0">
                  <c:v>80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5</c:v>
                </c:pt>
                <c:pt idx="5">
                  <c:v>2.5</c:v>
                </c:pt>
                <c:pt idx="6">
                  <c:v>1.25</c:v>
                </c:pt>
                <c:pt idx="7">
                  <c:v>0.63</c:v>
                </c:pt>
                <c:pt idx="8">
                  <c:v>0.315</c:v>
                </c:pt>
                <c:pt idx="9">
                  <c:v>0.16</c:v>
                </c:pt>
              </c:numCache>
            </c:numRef>
          </c:xVal>
          <c:yVal>
            <c:numRef>
              <c:f>PLANTILLA!$M$71:$M$80</c:f>
              <c:numCache>
                <c:formatCode>0%</c:formatCode>
                <c:ptCount val="10"/>
                <c:pt idx="0">
                  <c:v>1.0000000005709688</c:v>
                </c:pt>
                <c:pt idx="1">
                  <c:v>0.99106536397937739</c:v>
                </c:pt>
                <c:pt idx="2">
                  <c:v>0.84038654474613583</c:v>
                </c:pt>
                <c:pt idx="3">
                  <c:v>0.6672728560943253</c:v>
                </c:pt>
                <c:pt idx="4">
                  <c:v>0.41842435165045022</c:v>
                </c:pt>
                <c:pt idx="5">
                  <c:v>0.29407652662531969</c:v>
                </c:pt>
                <c:pt idx="6">
                  <c:v>0.20470607891156764</c:v>
                </c:pt>
                <c:pt idx="7">
                  <c:v>0.14435453658882202</c:v>
                </c:pt>
                <c:pt idx="8">
                  <c:v>5.8153212542540689E-2</c:v>
                </c:pt>
                <c:pt idx="9">
                  <c:v>2.3676837280305556E-2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D8D-FA41-8DD0-15CF5C574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37472"/>
        <c:axId val="1298032496"/>
      </c:scatterChart>
      <c:valAx>
        <c:axId val="129743747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Abertura Tamiz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98032496"/>
        <c:crosses val="autoZero"/>
        <c:crossBetween val="midCat"/>
      </c:valAx>
      <c:valAx>
        <c:axId val="12980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% Pasante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974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Granulometría</a:t>
            </a:r>
            <a:r>
              <a:rPr lang="es-MX" baseline="0"/>
              <a:t> Entregadas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Grava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PLANTILLA!$M$5:$M$19</c:f>
              <c:numCache>
                <c:formatCode>0%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0.94</c:v>
                </c:pt>
                <c:pt idx="4">
                  <c:v>0.62</c:v>
                </c:pt>
                <c:pt idx="5">
                  <c:v>0.14000000000000001</c:v>
                </c:pt>
                <c:pt idx="6">
                  <c:v>8.0000000000000016E-2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FB-9744-A89E-7FC1428A5217}"/>
            </c:ext>
          </c:extLst>
        </c:ser>
        <c:ser>
          <c:idx val="1"/>
          <c:order val="1"/>
          <c:tx>
            <c:v>Gravilla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PLANTILLA!$P$5:$P$19</c:f>
              <c:numCache>
                <c:formatCode>0%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0.95</c:v>
                </c:pt>
                <c:pt idx="6">
                  <c:v>0.6</c:v>
                </c:pt>
                <c:pt idx="7">
                  <c:v>0.48</c:v>
                </c:pt>
                <c:pt idx="8">
                  <c:v>0.19999999999999996</c:v>
                </c:pt>
                <c:pt idx="9">
                  <c:v>0.11999999999999995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FB-9744-A89E-7FC1428A5217}"/>
            </c:ext>
          </c:extLst>
        </c:ser>
        <c:ser>
          <c:idx val="2"/>
          <c:order val="2"/>
          <c:tx>
            <c:v>Arena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PLANTILLA!$S$5:$S$19</c:f>
              <c:numCache>
                <c:formatCode>0%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0.96</c:v>
                </c:pt>
                <c:pt idx="9">
                  <c:v>0.67999999999999994</c:v>
                </c:pt>
                <c:pt idx="10">
                  <c:v>0.54999999999999993</c:v>
                </c:pt>
                <c:pt idx="11">
                  <c:v>0.37999999999999989</c:v>
                </c:pt>
                <c:pt idx="12">
                  <c:v>0.26999999999999991</c:v>
                </c:pt>
                <c:pt idx="13">
                  <c:v>9.9999999999999895E-2</c:v>
                </c:pt>
                <c:pt idx="14">
                  <c:v>3.9999999999999897E-2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FB-9744-A89E-7FC1428A5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535968"/>
        <c:axId val="139891408"/>
      </c:scatterChart>
      <c:valAx>
        <c:axId val="2005535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Abertura Tamiz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9891408"/>
        <c:crosses val="autoZero"/>
        <c:crossBetween val="midCat"/>
      </c:valAx>
      <c:valAx>
        <c:axId val="13989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% Pasante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005535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Optimización con</a:t>
            </a:r>
            <a:r>
              <a:rPr lang="es-MX" baseline="0"/>
              <a:t> Banda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4084962893897968"/>
          <c:y val="0.28963646275403804"/>
          <c:w val="0.82704713545932185"/>
          <c:h val="0.62379530132307837"/>
        </c:manualLayout>
      </c:layout>
      <c:scatterChart>
        <c:scatterStyle val="lineMarker"/>
        <c:varyColors val="0"/>
        <c:ser>
          <c:idx val="0"/>
          <c:order val="0"/>
          <c:tx>
            <c:v>Objetivo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PLANTILLA!$I$40:$I$49</c:f>
              <c:numCache>
                <c:formatCode>General</c:formatCode>
                <c:ptCount val="10"/>
                <c:pt idx="0">
                  <c:v>80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5</c:v>
                </c:pt>
                <c:pt idx="5">
                  <c:v>2.5</c:v>
                </c:pt>
                <c:pt idx="6">
                  <c:v>1.25</c:v>
                </c:pt>
                <c:pt idx="7">
                  <c:v>0.63</c:v>
                </c:pt>
                <c:pt idx="8">
                  <c:v>0.315</c:v>
                </c:pt>
                <c:pt idx="9">
                  <c:v>0.16</c:v>
                </c:pt>
              </c:numCache>
            </c:numRef>
          </c:xVal>
          <c:yVal>
            <c:numRef>
              <c:f>PLANTILLA!$S$40:$S$49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0.63</c:v>
                </c:pt>
                <c:pt idx="5">
                  <c:v>0.49000000000000005</c:v>
                </c:pt>
                <c:pt idx="6">
                  <c:v>0.38</c:v>
                </c:pt>
                <c:pt idx="7">
                  <c:v>0.20750000000000002</c:v>
                </c:pt>
                <c:pt idx="8">
                  <c:v>0.11</c:v>
                </c:pt>
                <c:pt idx="9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0F-244D-B8DE-5E29EEB68ABE}"/>
            </c:ext>
          </c:extLst>
        </c:ser>
        <c:ser>
          <c:idx val="1"/>
          <c:order val="1"/>
          <c:tx>
            <c:v>Optimizada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PLANTILLA!$I$40:$I$49</c:f>
              <c:numCache>
                <c:formatCode>General</c:formatCode>
                <c:ptCount val="10"/>
                <c:pt idx="0">
                  <c:v>80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5</c:v>
                </c:pt>
                <c:pt idx="5">
                  <c:v>2.5</c:v>
                </c:pt>
                <c:pt idx="6">
                  <c:v>1.25</c:v>
                </c:pt>
                <c:pt idx="7">
                  <c:v>0.63</c:v>
                </c:pt>
                <c:pt idx="8">
                  <c:v>0.315</c:v>
                </c:pt>
                <c:pt idx="9">
                  <c:v>0.16</c:v>
                </c:pt>
              </c:numCache>
            </c:numRef>
          </c:xVal>
          <c:yVal>
            <c:numRef>
              <c:f>PLANTILLA!$M$40:$M$49</c:f>
              <c:numCache>
                <c:formatCode>0%</c:formatCode>
                <c:ptCount val="10"/>
                <c:pt idx="0">
                  <c:v>1</c:v>
                </c:pt>
                <c:pt idx="1">
                  <c:v>0.99069207687170235</c:v>
                </c:pt>
                <c:pt idx="2">
                  <c:v>0.83374632384896852</c:v>
                </c:pt>
                <c:pt idx="3">
                  <c:v>0.65371899855987714</c:v>
                </c:pt>
                <c:pt idx="4">
                  <c:v>0.40578736149251737</c:v>
                </c:pt>
                <c:pt idx="5">
                  <c:v>0.28332120352424051</c:v>
                </c:pt>
                <c:pt idx="6">
                  <c:v>0.19706700500052082</c:v>
                </c:pt>
                <c:pt idx="7">
                  <c:v>0.13896761803584001</c:v>
                </c:pt>
                <c:pt idx="8">
                  <c:v>5.5983092870768802E-2</c:v>
                </c:pt>
                <c:pt idx="9">
                  <c:v>2.2793282131744391E-2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0F-244D-B8DE-5E29EEB68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311984"/>
        <c:axId val="595961792"/>
      </c:scatterChart>
      <c:valAx>
        <c:axId val="100331198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Abertura Tamiz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95961792"/>
        <c:crosses val="autoZero"/>
        <c:crossBetween val="midCat"/>
      </c:valAx>
      <c:valAx>
        <c:axId val="59596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% Pasante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03311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Distribucion</a:t>
            </a:r>
            <a:r>
              <a:rPr lang="es-MX" baseline="0"/>
              <a:t> Granulometrica Optimizada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Grava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PLANTILLA!$L$5:$L$19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0.32</c:v>
                </c:pt>
                <c:pt idx="5">
                  <c:v>0.48</c:v>
                </c:pt>
                <c:pt idx="6">
                  <c:v>0.06</c:v>
                </c:pt>
                <c:pt idx="7">
                  <c:v>0.08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3A-E446-A3F6-2F29C6BB6434}"/>
            </c:ext>
          </c:extLst>
        </c:ser>
        <c:ser>
          <c:idx val="1"/>
          <c:order val="1"/>
          <c:tx>
            <c:v>Gravilla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PLANTILLA!$O$5:$O$19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0.35</c:v>
                </c:pt>
                <c:pt idx="7">
                  <c:v>0.12</c:v>
                </c:pt>
                <c:pt idx="8">
                  <c:v>0.28000000000000003</c:v>
                </c:pt>
                <c:pt idx="9">
                  <c:v>0.08</c:v>
                </c:pt>
                <c:pt idx="10">
                  <c:v>0.12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3A-E446-A3F6-2F29C6BB6434}"/>
            </c:ext>
          </c:extLst>
        </c:ser>
        <c:ser>
          <c:idx val="2"/>
          <c:order val="2"/>
          <c:tx>
            <c:v>Arena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PLANTILLA!$R$5:$R$19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0.04</c:v>
                </c:pt>
                <c:pt idx="9">
                  <c:v>0.28000000000000003</c:v>
                </c:pt>
                <c:pt idx="10">
                  <c:v>0.13</c:v>
                </c:pt>
                <c:pt idx="11">
                  <c:v>0.17</c:v>
                </c:pt>
                <c:pt idx="12">
                  <c:v>0.11</c:v>
                </c:pt>
                <c:pt idx="13">
                  <c:v>0.17</c:v>
                </c:pt>
                <c:pt idx="14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3A-E446-A3F6-2F29C6BB6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477392"/>
        <c:axId val="1991479104"/>
      </c:scatterChart>
      <c:valAx>
        <c:axId val="199147739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Abertura Tamiz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91479104"/>
        <c:crosses val="autoZero"/>
        <c:crossBetween val="midCat"/>
      </c:valAx>
      <c:valAx>
        <c:axId val="19914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% Pasante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91477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Gráfico</a:t>
            </a:r>
            <a:r>
              <a:rPr lang="es-MX" baseline="0"/>
              <a:t> Tarántula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Lim Sup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PLANTILLA!$AI$4:$AI$18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PLANTILLA!$AG$4:$AG$18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2.5000000000000001E-2</c:v>
                </c:pt>
                <c:pt idx="4">
                  <c:v>0.15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0.125</c:v>
                </c:pt>
                <c:pt idx="11">
                  <c:v>0.125</c:v>
                </c:pt>
                <c:pt idx="12">
                  <c:v>0.2</c:v>
                </c:pt>
                <c:pt idx="13">
                  <c:v>0.2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50-704C-B44D-9D9265B44F6D}"/>
            </c:ext>
          </c:extLst>
        </c:ser>
        <c:ser>
          <c:idx val="1"/>
          <c:order val="1"/>
          <c:tx>
            <c:v>Lim Sup Acotado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PLANTILLA!$K$40:$K$54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PLANTILLA!$O$40:$O$54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2.5000000000000001E-2</c:v>
                </c:pt>
                <c:pt idx="4">
                  <c:v>0.15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0.125</c:v>
                </c:pt>
                <c:pt idx="11">
                  <c:v>0.125</c:v>
                </c:pt>
                <c:pt idx="12">
                  <c:v>0.2</c:v>
                </c:pt>
                <c:pt idx="13">
                  <c:v>0.2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50-704C-B44D-9D9265B44F6D}"/>
            </c:ext>
          </c:extLst>
        </c:ser>
        <c:ser>
          <c:idx val="4"/>
          <c:order val="2"/>
          <c:tx>
            <c:v>TMA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PLANTILLA!$K$40:$K$54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PLANTILLA!$N$40:$N$54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1.2000000000000011E-2</c:v>
                </c:pt>
                <c:pt idx="4">
                  <c:v>6.4000000000000057E-2</c:v>
                </c:pt>
                <c:pt idx="5">
                  <c:v>0.11099999999999999</c:v>
                </c:pt>
                <c:pt idx="6">
                  <c:v>0.11699999999999999</c:v>
                </c:pt>
                <c:pt idx="7">
                  <c:v>5.1999999999999935E-2</c:v>
                </c:pt>
                <c:pt idx="8">
                  <c:v>0.10400000000000009</c:v>
                </c:pt>
                <c:pt idx="9">
                  <c:v>0.16399999999999998</c:v>
                </c:pt>
                <c:pt idx="10">
                  <c:v>0.10099999999999998</c:v>
                </c:pt>
                <c:pt idx="11">
                  <c:v>8.500000000000002E-2</c:v>
                </c:pt>
                <c:pt idx="12">
                  <c:v>5.4999999999999993E-2</c:v>
                </c:pt>
                <c:pt idx="13">
                  <c:v>8.5000000000000006E-2</c:v>
                </c:pt>
                <c:pt idx="14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50-704C-B44D-9D9265B44F6D}"/>
            </c:ext>
          </c:extLst>
        </c:ser>
        <c:ser>
          <c:idx val="2"/>
          <c:order val="3"/>
          <c:tx>
            <c:v>Lim Inf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PLANTILLA!$AI$4:$AI$18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PLANTILLA!$AH$4:$AH$18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  <c:pt idx="11">
                  <c:v>0</c:v>
                </c:pt>
                <c:pt idx="12">
                  <c:v>0.05</c:v>
                </c:pt>
                <c:pt idx="13">
                  <c:v>0.05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50-704C-B44D-9D9265B44F6D}"/>
            </c:ext>
          </c:extLst>
        </c:ser>
        <c:ser>
          <c:idx val="3"/>
          <c:order val="4"/>
          <c:tx>
            <c:v>Lim Inf Acotado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PLANTILLA!$K$40:$K$54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PLANTILLA!$P$40:$P$54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  <c:pt idx="11">
                  <c:v>0</c:v>
                </c:pt>
                <c:pt idx="12">
                  <c:v>0.05</c:v>
                </c:pt>
                <c:pt idx="13">
                  <c:v>0.05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50-704C-B44D-9D9265B44F6D}"/>
            </c:ext>
          </c:extLst>
        </c:ser>
        <c:ser>
          <c:idx val="5"/>
          <c:order val="5"/>
          <c:tx>
            <c:v>Thomson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PLANTILLA!$K$71:$K$85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PLANTILLA!$N$71:$N$85</c:f>
              <c:numCache>
                <c:formatCode>0.00%</c:formatCode>
                <c:ptCount val="15"/>
                <c:pt idx="0">
                  <c:v>-5.7096882777329938E-10</c:v>
                </c:pt>
                <c:pt idx="1">
                  <c:v>0</c:v>
                </c:pt>
                <c:pt idx="2">
                  <c:v>0</c:v>
                </c:pt>
                <c:pt idx="3">
                  <c:v>1.1518749953267626E-2</c:v>
                </c:pt>
                <c:pt idx="4">
                  <c:v>6.1433333084094155E-2</c:v>
                </c:pt>
                <c:pt idx="5">
                  <c:v>0.10658194535269772</c:v>
                </c:pt>
                <c:pt idx="6">
                  <c:v>0.11254237003916179</c:v>
                </c:pt>
                <c:pt idx="7">
                  <c:v>4.9995003014758677E-2</c:v>
                </c:pt>
                <c:pt idx="8">
                  <c:v>0.10159417287479722</c:v>
                </c:pt>
                <c:pt idx="9">
                  <c:v>0.16851805080506371</c:v>
                </c:pt>
                <c:pt idx="10">
                  <c:v>0.10215631936350139</c:v>
                </c:pt>
                <c:pt idx="11">
                  <c:v>8.8294926425848241E-2</c:v>
                </c:pt>
                <c:pt idx="12">
                  <c:v>5.7132011216725315E-2</c:v>
                </c:pt>
                <c:pt idx="13">
                  <c:v>8.8294926425848214E-2</c:v>
                </c:pt>
                <c:pt idx="14">
                  <c:v>3.1162915209122895E-2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50-704C-B44D-9D9265B44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5334815"/>
        <c:axId val="1445336527"/>
      </c:scatterChart>
      <c:valAx>
        <c:axId val="14453348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Abertura Tamiz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45336527"/>
        <c:crosses val="autoZero"/>
        <c:crossBetween val="midCat"/>
      </c:valAx>
      <c:valAx>
        <c:axId val="1445336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% Pasante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.0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45334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Granulometría NCh 163 - Dm 10mm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PLANTILLA!$I$26:$I$35</c:f>
              <c:numCache>
                <c:formatCode>General</c:formatCode>
                <c:ptCount val="10"/>
                <c:pt idx="0">
                  <c:v>80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5</c:v>
                </c:pt>
                <c:pt idx="5">
                  <c:v>2.5</c:v>
                </c:pt>
                <c:pt idx="6" formatCode="0.000">
                  <c:v>1.25</c:v>
                </c:pt>
                <c:pt idx="7" formatCode="0.000">
                  <c:v>0.63</c:v>
                </c:pt>
                <c:pt idx="8" formatCode="0.000">
                  <c:v>0.315</c:v>
                </c:pt>
                <c:pt idx="9" formatCode="0.000">
                  <c:v>0.16</c:v>
                </c:pt>
              </c:numCache>
            </c:numRef>
          </c:xVal>
          <c:yVal>
            <c:numRef>
              <c:f>PLANTILLA!$V$26:$V$35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0.61</c:v>
                </c:pt>
                <c:pt idx="5">
                  <c:v>0.37</c:v>
                </c:pt>
                <c:pt idx="6">
                  <c:v>0.22</c:v>
                </c:pt>
                <c:pt idx="7">
                  <c:v>0.13</c:v>
                </c:pt>
                <c:pt idx="8">
                  <c:v>0.05</c:v>
                </c:pt>
                <c:pt idx="9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42-4AAB-A2C5-5BD86EB548F9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PLANTILLA!$I$26:$I$35</c:f>
              <c:numCache>
                <c:formatCode>General</c:formatCode>
                <c:ptCount val="10"/>
                <c:pt idx="0">
                  <c:v>80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5</c:v>
                </c:pt>
                <c:pt idx="5">
                  <c:v>2.5</c:v>
                </c:pt>
                <c:pt idx="6" formatCode="0.000">
                  <c:v>1.25</c:v>
                </c:pt>
                <c:pt idx="7" formatCode="0.000">
                  <c:v>0.63</c:v>
                </c:pt>
                <c:pt idx="8" formatCode="0.000">
                  <c:v>0.315</c:v>
                </c:pt>
                <c:pt idx="9" formatCode="0.000">
                  <c:v>0.16</c:v>
                </c:pt>
              </c:numCache>
            </c:numRef>
          </c:xVal>
          <c:yVal>
            <c:numRef>
              <c:f>PLANTILLA!$W$26:$W$35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0.74</c:v>
                </c:pt>
                <c:pt idx="5">
                  <c:v>0.56000000000000005</c:v>
                </c:pt>
                <c:pt idx="6">
                  <c:v>0.41</c:v>
                </c:pt>
                <c:pt idx="7">
                  <c:v>0.27</c:v>
                </c:pt>
                <c:pt idx="8">
                  <c:v>0.13</c:v>
                </c:pt>
                <c:pt idx="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42-4AAB-A2C5-5BD86EB548F9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PLANTILLA!$I$26:$I$35</c:f>
              <c:numCache>
                <c:formatCode>General</c:formatCode>
                <c:ptCount val="10"/>
                <c:pt idx="0">
                  <c:v>80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5</c:v>
                </c:pt>
                <c:pt idx="5">
                  <c:v>2.5</c:v>
                </c:pt>
                <c:pt idx="6" formatCode="0.000">
                  <c:v>1.25</c:v>
                </c:pt>
                <c:pt idx="7" formatCode="0.000">
                  <c:v>0.63</c:v>
                </c:pt>
                <c:pt idx="8" formatCode="0.000">
                  <c:v>0.315</c:v>
                </c:pt>
                <c:pt idx="9" formatCode="0.000">
                  <c:v>0.16</c:v>
                </c:pt>
              </c:numCache>
            </c:numRef>
          </c:xVal>
          <c:yVal>
            <c:numRef>
              <c:f>PLANTILLA!$X$26:$X$35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0.87</c:v>
                </c:pt>
                <c:pt idx="5">
                  <c:v>0.73</c:v>
                </c:pt>
                <c:pt idx="6">
                  <c:v>0.59</c:v>
                </c:pt>
                <c:pt idx="7">
                  <c:v>0.43</c:v>
                </c:pt>
                <c:pt idx="8">
                  <c:v>0.26</c:v>
                </c:pt>
                <c:pt idx="9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42-4AAB-A2C5-5BD86EB548F9}"/>
            </c:ext>
          </c:extLst>
        </c:ser>
        <c:ser>
          <c:idx val="3"/>
          <c:order val="3"/>
          <c:tx>
            <c:v>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PLANTILLA!$I$26:$I$35</c:f>
              <c:numCache>
                <c:formatCode>General</c:formatCode>
                <c:ptCount val="10"/>
                <c:pt idx="0">
                  <c:v>80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5</c:v>
                </c:pt>
                <c:pt idx="5">
                  <c:v>2.5</c:v>
                </c:pt>
                <c:pt idx="6" formatCode="0.000">
                  <c:v>1.25</c:v>
                </c:pt>
                <c:pt idx="7" formatCode="0.000">
                  <c:v>0.63</c:v>
                </c:pt>
                <c:pt idx="8" formatCode="0.000">
                  <c:v>0.315</c:v>
                </c:pt>
                <c:pt idx="9" formatCode="0.000">
                  <c:v>0.16</c:v>
                </c:pt>
              </c:numCache>
            </c:numRef>
          </c:xVal>
          <c:yVal>
            <c:numRef>
              <c:f>PLANTILLA!$Y$26:$Y$35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42-4AAB-A2C5-5BD86EB548F9}"/>
            </c:ext>
          </c:extLst>
        </c:ser>
        <c:ser>
          <c:idx val="4"/>
          <c:order val="4"/>
          <c:tx>
            <c:v>Promedio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PLANTILLA!$I$26:$I$35</c:f>
              <c:numCache>
                <c:formatCode>General</c:formatCode>
                <c:ptCount val="10"/>
                <c:pt idx="0">
                  <c:v>80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5</c:v>
                </c:pt>
                <c:pt idx="5">
                  <c:v>2.5</c:v>
                </c:pt>
                <c:pt idx="6" formatCode="0.000">
                  <c:v>1.25</c:v>
                </c:pt>
                <c:pt idx="7" formatCode="0.000">
                  <c:v>0.63</c:v>
                </c:pt>
                <c:pt idx="8" formatCode="0.000">
                  <c:v>0.315</c:v>
                </c:pt>
                <c:pt idx="9" formatCode="0.000">
                  <c:v>0.16</c:v>
                </c:pt>
              </c:numCache>
            </c:numRef>
          </c:xVal>
          <c:yVal>
            <c:numRef>
              <c:f>PLANTILLA!$AD$26:$AD$35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0.63</c:v>
                </c:pt>
                <c:pt idx="5">
                  <c:v>0.49000000000000005</c:v>
                </c:pt>
                <c:pt idx="6">
                  <c:v>0.38</c:v>
                </c:pt>
                <c:pt idx="7">
                  <c:v>0.20750000000000002</c:v>
                </c:pt>
                <c:pt idx="8">
                  <c:v>0.11</c:v>
                </c:pt>
                <c:pt idx="9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42-4AAB-A2C5-5BD86EB54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411423"/>
        <c:axId val="1107412863"/>
      </c:scatterChart>
      <c:valAx>
        <c:axId val="110741142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Abertura Tamiz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07412863"/>
        <c:crosses val="autoZero"/>
        <c:crossBetween val="midCat"/>
      </c:valAx>
      <c:valAx>
        <c:axId val="1107412863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% Pasante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10741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Granulometrías</a:t>
            </a:r>
            <a:r>
              <a:rPr lang="es-CL" baseline="0"/>
              <a:t> iniciales y optimizadas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11203937007874015"/>
          <c:y val="0.12603476121993415"/>
          <c:w val="0.85862729658792647"/>
          <c:h val="0.79382028948758898"/>
        </c:manualLayout>
      </c:layout>
      <c:scatterChart>
        <c:scatterStyle val="smoothMarker"/>
        <c:varyColors val="0"/>
        <c:ser>
          <c:idx val="0"/>
          <c:order val="0"/>
          <c:tx>
            <c:v>Grava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PLANTILLA!$M$5:$M$19</c:f>
              <c:numCache>
                <c:formatCode>0%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0.94</c:v>
                </c:pt>
                <c:pt idx="4">
                  <c:v>0.62</c:v>
                </c:pt>
                <c:pt idx="5">
                  <c:v>0.14000000000000001</c:v>
                </c:pt>
                <c:pt idx="6">
                  <c:v>8.0000000000000016E-2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A2-4729-BD44-FF3D765E9EE3}"/>
            </c:ext>
          </c:extLst>
        </c:ser>
        <c:ser>
          <c:idx val="1"/>
          <c:order val="1"/>
          <c:tx>
            <c:v>Gravilla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PLANTILLA!$P$5:$P$19</c:f>
              <c:numCache>
                <c:formatCode>0%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0.95</c:v>
                </c:pt>
                <c:pt idx="6">
                  <c:v>0.6</c:v>
                </c:pt>
                <c:pt idx="7">
                  <c:v>0.48</c:v>
                </c:pt>
                <c:pt idx="8">
                  <c:v>0.19999999999999996</c:v>
                </c:pt>
                <c:pt idx="9">
                  <c:v>0.11999999999999995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A2-4729-BD44-FF3D765E9EE3}"/>
            </c:ext>
          </c:extLst>
        </c:ser>
        <c:ser>
          <c:idx val="2"/>
          <c:order val="2"/>
          <c:tx>
            <c:v>Arena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PLANTILLA!$S$5:$S$19</c:f>
              <c:numCache>
                <c:formatCode>0%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0.96</c:v>
                </c:pt>
                <c:pt idx="9">
                  <c:v>0.67999999999999994</c:v>
                </c:pt>
                <c:pt idx="10">
                  <c:v>0.54999999999999993</c:v>
                </c:pt>
                <c:pt idx="11">
                  <c:v>0.37999999999999989</c:v>
                </c:pt>
                <c:pt idx="12">
                  <c:v>0.26999999999999991</c:v>
                </c:pt>
                <c:pt idx="13">
                  <c:v>9.9999999999999895E-2</c:v>
                </c:pt>
                <c:pt idx="14">
                  <c:v>3.9999999999999897E-2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A2-4729-BD44-FF3D765E9EE3}"/>
            </c:ext>
          </c:extLst>
        </c:ser>
        <c:ser>
          <c:idx val="3"/>
          <c:order val="3"/>
          <c:tx>
            <c:v>Banda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PLANTILLA!$U$5:$U$19</c:f>
              <c:numCache>
                <c:formatCode>0%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0.98799999999999999</c:v>
                </c:pt>
                <c:pt idx="4">
                  <c:v>0.92399999999999993</c:v>
                </c:pt>
                <c:pt idx="5">
                  <c:v>0.81299999999999994</c:v>
                </c:pt>
                <c:pt idx="6">
                  <c:v>0.69599999999999995</c:v>
                </c:pt>
                <c:pt idx="7">
                  <c:v>0.64400000000000002</c:v>
                </c:pt>
                <c:pt idx="8">
                  <c:v>0.53999999999999992</c:v>
                </c:pt>
                <c:pt idx="9">
                  <c:v>0.37599999999999995</c:v>
                </c:pt>
                <c:pt idx="10">
                  <c:v>0.27499999999999997</c:v>
                </c:pt>
                <c:pt idx="11">
                  <c:v>0.18999999999999995</c:v>
                </c:pt>
                <c:pt idx="12">
                  <c:v>0.13499999999999995</c:v>
                </c:pt>
                <c:pt idx="13">
                  <c:v>4.9999999999999947E-2</c:v>
                </c:pt>
                <c:pt idx="14">
                  <c:v>1.9999999999999948E-2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A2-4729-BD44-FF3D765E9EE3}"/>
            </c:ext>
          </c:extLst>
        </c:ser>
        <c:ser>
          <c:idx val="4"/>
          <c:order val="4"/>
          <c:tx>
            <c:v>F-T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PLANTILLA!$I$5:$I$19</c:f>
              <c:numCache>
                <c:formatCode>General</c:formatCode>
                <c:ptCount val="15"/>
                <c:pt idx="0">
                  <c:v>75</c:v>
                </c:pt>
                <c:pt idx="1">
                  <c:v>63</c:v>
                </c:pt>
                <c:pt idx="2">
                  <c:v>50</c:v>
                </c:pt>
                <c:pt idx="3">
                  <c:v>37.5</c:v>
                </c:pt>
                <c:pt idx="4">
                  <c:v>25</c:v>
                </c:pt>
                <c:pt idx="5">
                  <c:v>19</c:v>
                </c:pt>
                <c:pt idx="6">
                  <c:v>12.5</c:v>
                </c:pt>
                <c:pt idx="7">
                  <c:v>9.5</c:v>
                </c:pt>
                <c:pt idx="8">
                  <c:v>6.3</c:v>
                </c:pt>
                <c:pt idx="9">
                  <c:v>4.75</c:v>
                </c:pt>
                <c:pt idx="10">
                  <c:v>2.36</c:v>
                </c:pt>
                <c:pt idx="11">
                  <c:v>1.18</c:v>
                </c:pt>
                <c:pt idx="12">
                  <c:v>0.6</c:v>
                </c:pt>
                <c:pt idx="13">
                  <c:v>0.3</c:v>
                </c:pt>
                <c:pt idx="14">
                  <c:v>0.15</c:v>
                </c:pt>
              </c:numCache>
            </c:numRef>
          </c:xVal>
          <c:yVal>
            <c:numRef>
              <c:f>PLANTILLA!$V$5:$V$19</c:f>
              <c:numCache>
                <c:formatCode>0%</c:formatCode>
                <c:ptCount val="15"/>
                <c:pt idx="0">
                  <c:v>1.0000000005709688</c:v>
                </c:pt>
                <c:pt idx="1">
                  <c:v>1.0000000005709688</c:v>
                </c:pt>
                <c:pt idx="2">
                  <c:v>1.0000000005709688</c:v>
                </c:pt>
                <c:pt idx="3">
                  <c:v>0.9884812506177012</c:v>
                </c:pt>
                <c:pt idx="4">
                  <c:v>0.92704791753360705</c:v>
                </c:pt>
                <c:pt idx="5">
                  <c:v>0.82046597218090933</c:v>
                </c:pt>
                <c:pt idx="6">
                  <c:v>0.70792360214174754</c:v>
                </c:pt>
                <c:pt idx="7">
                  <c:v>0.65792859912698887</c:v>
                </c:pt>
                <c:pt idx="8">
                  <c:v>0.55633442625219165</c:v>
                </c:pt>
                <c:pt idx="9">
                  <c:v>0.38781637544712794</c:v>
                </c:pt>
                <c:pt idx="10">
                  <c:v>0.28566005608362655</c:v>
                </c:pt>
                <c:pt idx="11">
                  <c:v>0.1973651296577783</c:v>
                </c:pt>
                <c:pt idx="12">
                  <c:v>0.14023311844105299</c:v>
                </c:pt>
                <c:pt idx="13">
                  <c:v>5.1938192015204776E-2</c:v>
                </c:pt>
                <c:pt idx="14">
                  <c:v>2.0775276806081881E-2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A2-4729-BD44-FF3D765E9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089327"/>
        <c:axId val="1963086927"/>
      </c:scatterChart>
      <c:valAx>
        <c:axId val="19630893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Abertura</a:t>
                </a:r>
                <a:r>
                  <a:rPr lang="es-CL" baseline="0"/>
                  <a:t> Tamiz (mm)</a:t>
                </a:r>
                <a:endParaRPr lang="es-C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63086927"/>
        <c:crosses val="autoZero"/>
        <c:crossBetween val="midCat"/>
      </c:valAx>
      <c:valAx>
        <c:axId val="196308692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% Pasante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6308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1883104</xdr:colOff>
      <xdr:row>15</xdr:row>
      <xdr:rowOff>0</xdr:rowOff>
    </xdr:from>
    <xdr:to>
      <xdr:col>6</xdr:col>
      <xdr:colOff>14598</xdr:colOff>
      <xdr:row>16</xdr:row>
      <xdr:rowOff>29195</xdr:rowOff>
    </xdr:to>
    <xdr:sp macro="[0]!MacroFinalFInal" textlink="">
      <xdr:nvSpPr>
        <xdr:cNvPr id="2" name="Rectángulo 1">
          <a:extLst>
            <a:ext uri="{FF2B5EF4-FFF2-40B4-BE49-F238E27FC236}">
              <a16:creationId xmlns:a16="http://schemas.microsoft.com/office/drawing/2014/main" id="{0703CFC5-C1D9-8546-8867-701EC59C9E0F}"/>
            </a:ext>
          </a:extLst>
        </xdr:cNvPr>
        <xdr:cNvSpPr/>
      </xdr:nvSpPr>
      <xdr:spPr>
        <a:xfrm>
          <a:off x="5795288" y="4189540"/>
          <a:ext cx="5123793" cy="2335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EJECUTAR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431800</xdr:colOff>
      <xdr:row>31</xdr:row>
      <xdr:rowOff>190500</xdr:rowOff>
    </xdr:from>
    <xdr:to>
      <xdr:col>7</xdr:col>
      <xdr:colOff>50800</xdr:colOff>
      <xdr:row>45</xdr:row>
      <xdr:rowOff>88900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23C6300-E83F-29C6-E706-1602F767D3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445043</xdr:colOff>
      <xdr:row>2</xdr:row>
      <xdr:rowOff>19647</xdr:rowOff>
    </xdr:from>
    <xdr:to>
      <xdr:col>7</xdr:col>
      <xdr:colOff>66757</xdr:colOff>
      <xdr:row>15</xdr:row>
      <xdr:rowOff>81736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00EB0D9-A574-1C4B-906D-B4D06BDAB0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7682</xdr:colOff>
      <xdr:row>16</xdr:row>
      <xdr:rowOff>127000</xdr:rowOff>
    </xdr:from>
    <xdr:to>
      <xdr:col>7</xdr:col>
      <xdr:colOff>63501</xdr:colOff>
      <xdr:row>30</xdr:row>
      <xdr:rowOff>25400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C956496-3477-EE82-27C2-5EE62F893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131885</xdr:colOff>
      <xdr:row>2</xdr:row>
      <xdr:rowOff>8304</xdr:rowOff>
    </xdr:from>
    <xdr:to>
      <xdr:col>13</xdr:col>
      <xdr:colOff>551962</xdr:colOff>
      <xdr:row>15</xdr:row>
      <xdr:rowOff>52754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E6FAA11-A490-2AA1-9D5C-EB0CBC84C2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186836</xdr:colOff>
      <xdr:row>16</xdr:row>
      <xdr:rowOff>203690</xdr:rowOff>
    </xdr:from>
    <xdr:to>
      <xdr:col>13</xdr:col>
      <xdr:colOff>606913</xdr:colOff>
      <xdr:row>30</xdr:row>
      <xdr:rowOff>40543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6915167-9602-8ECD-B23E-1BD1D29AE6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153012</xdr:colOff>
      <xdr:row>31</xdr:row>
      <xdr:rowOff>153012</xdr:rowOff>
    </xdr:from>
    <xdr:to>
      <xdr:col>13</xdr:col>
      <xdr:colOff>526712</xdr:colOff>
      <xdr:row>45</xdr:row>
      <xdr:rowOff>73183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EC20BF0-9F36-4D62-997A-7828C2EB7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443735</xdr:colOff>
      <xdr:row>2</xdr:row>
      <xdr:rowOff>15302</xdr:rowOff>
    </xdr:from>
    <xdr:to>
      <xdr:col>20</xdr:col>
      <xdr:colOff>331875</xdr:colOff>
      <xdr:row>16</xdr:row>
      <xdr:rowOff>90325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8398EFC-5355-468F-B859-1FB7AFAD2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8F1EF-BE06-8C42-B267-5F50F3069F0B}">
  <sheetPr codeName="Hoja1"/>
  <dimension ref="B1:AI98"/>
  <sheetViews>
    <sheetView tabSelected="1" topLeftCell="A13" zoomScale="53" zoomScaleNormal="216" workbookViewId="0">
      <selection activeCell="C32" sqref="C32:D32"/>
    </sheetView>
  </sheetViews>
  <sheetFormatPr baseColWidth="10" defaultColWidth="25.6875" defaultRowHeight="15.75"/>
  <cols>
    <col min="1" max="2" width="25.6875" style="11"/>
    <col min="3" max="3" width="25.5" style="11" bestFit="1" customWidth="1"/>
    <col min="4" max="4" width="16" style="11" bestFit="1" customWidth="1"/>
    <col min="5" max="5" width="25.5" style="11" bestFit="1" customWidth="1"/>
    <col min="6" max="6" width="24.6875" style="11" bestFit="1" customWidth="1"/>
    <col min="7" max="7" width="24.1875" style="11" bestFit="1" customWidth="1"/>
    <col min="8" max="8" width="25.6875" style="11"/>
    <col min="9" max="9" width="9" style="11" bestFit="1" customWidth="1"/>
    <col min="10" max="10" width="20.3125" style="11" bestFit="1" customWidth="1"/>
    <col min="11" max="11" width="8" style="11" bestFit="1" customWidth="1"/>
    <col min="12" max="12" width="17" style="11" bestFit="1" customWidth="1"/>
    <col min="13" max="13" width="20.8125" style="11" bestFit="1" customWidth="1"/>
    <col min="14" max="14" width="23.3125" style="11" bestFit="1" customWidth="1"/>
    <col min="15" max="15" width="10" style="11" bestFit="1" customWidth="1"/>
    <col min="16" max="16" width="21.5" style="11" bestFit="1" customWidth="1"/>
    <col min="17" max="17" width="13.6875" style="11" bestFit="1" customWidth="1"/>
    <col min="18" max="18" width="10" style="11" bestFit="1" customWidth="1"/>
    <col min="19" max="19" width="14.3125" style="11" bestFit="1" customWidth="1"/>
    <col min="20" max="20" width="25" style="11" bestFit="1" customWidth="1"/>
    <col min="21" max="21" width="19.6875" style="11" bestFit="1" customWidth="1"/>
    <col min="22" max="22" width="23.3125" style="11" bestFit="1" customWidth="1"/>
    <col min="23" max="23" width="13.6875" style="11" bestFit="1" customWidth="1"/>
    <col min="24" max="24" width="19.3125" style="11" customWidth="1"/>
    <col min="25" max="25" width="10.3125" style="11" bestFit="1" customWidth="1"/>
    <col min="26" max="28" width="14" style="11" bestFit="1" customWidth="1"/>
    <col min="29" max="30" width="9.3125" style="11" bestFit="1" customWidth="1"/>
    <col min="31" max="31" width="6.8125" style="11" bestFit="1" customWidth="1"/>
    <col min="32" max="32" width="25.6875" style="11"/>
    <col min="33" max="33" width="8" style="11" bestFit="1" customWidth="1"/>
    <col min="34" max="34" width="6.8125" style="11" bestFit="1" customWidth="1"/>
    <col min="35" max="35" width="5.1875" style="11" bestFit="1" customWidth="1"/>
    <col min="36" max="16384" width="25.6875" style="11"/>
  </cols>
  <sheetData>
    <row r="1" spans="2:35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X1" s="150" t="s">
        <v>172</v>
      </c>
      <c r="Y1" s="150"/>
      <c r="Z1" s="150"/>
      <c r="AA1" s="150"/>
      <c r="AB1" s="150"/>
      <c r="AC1" s="150"/>
      <c r="AD1" s="150"/>
    </row>
    <row r="2" spans="2:35">
      <c r="B2" s="46"/>
      <c r="C2" s="47"/>
      <c r="D2" s="44" t="s">
        <v>111</v>
      </c>
      <c r="E2" s="150" t="s">
        <v>112</v>
      </c>
      <c r="F2" s="150"/>
      <c r="G2" s="150"/>
      <c r="I2" s="9"/>
      <c r="J2" s="9"/>
      <c r="K2" s="163" t="str">
        <f>D12</f>
        <v>Grava 1</v>
      </c>
      <c r="L2" s="152"/>
      <c r="M2" s="153"/>
      <c r="N2" s="164" t="str">
        <f>D11</f>
        <v>Gravilla 2</v>
      </c>
      <c r="O2" s="152"/>
      <c r="P2" s="153"/>
      <c r="Q2" s="151" t="str">
        <f>D10</f>
        <v>Arena 3</v>
      </c>
      <c r="R2" s="152"/>
      <c r="S2" s="153"/>
      <c r="T2" s="18" t="s">
        <v>67</v>
      </c>
      <c r="U2" s="20" t="s">
        <v>219</v>
      </c>
      <c r="V2" s="95" t="s">
        <v>177</v>
      </c>
      <c r="X2" s="87" t="s">
        <v>126</v>
      </c>
      <c r="Y2" s="131" t="s">
        <v>166</v>
      </c>
      <c r="Z2" s="131" t="s">
        <v>167</v>
      </c>
      <c r="AA2" s="131" t="s">
        <v>168</v>
      </c>
      <c r="AB2" s="131" t="s">
        <v>169</v>
      </c>
      <c r="AC2" s="131" t="str">
        <f>J8</f>
        <v>1 1/2"</v>
      </c>
      <c r="AD2" s="131" t="s">
        <v>170</v>
      </c>
      <c r="AE2" s="131" t="s">
        <v>171</v>
      </c>
      <c r="AG2" s="150" t="s">
        <v>185</v>
      </c>
      <c r="AH2" s="150"/>
    </row>
    <row r="3" spans="2:35" ht="17" customHeight="1">
      <c r="B3" s="154" t="s">
        <v>3</v>
      </c>
      <c r="C3" s="48" t="s">
        <v>4</v>
      </c>
      <c r="D3" s="78" t="s">
        <v>5</v>
      </c>
      <c r="E3" s="162" t="s">
        <v>122</v>
      </c>
      <c r="F3" s="162"/>
      <c r="G3" s="162"/>
      <c r="I3" s="157" t="s">
        <v>6</v>
      </c>
      <c r="J3" s="158"/>
      <c r="K3" s="159" t="s">
        <v>7</v>
      </c>
      <c r="L3" s="158"/>
      <c r="M3" s="79" t="s">
        <v>8</v>
      </c>
      <c r="N3" s="160" t="s">
        <v>7</v>
      </c>
      <c r="O3" s="158"/>
      <c r="P3" s="80" t="s">
        <v>8</v>
      </c>
      <c r="Q3" s="161" t="s">
        <v>7</v>
      </c>
      <c r="R3" s="158"/>
      <c r="S3" s="81" t="s">
        <v>8</v>
      </c>
      <c r="T3" s="82" t="s">
        <v>8</v>
      </c>
      <c r="U3" s="83" t="str">
        <f>T3</f>
        <v>PASA</v>
      </c>
      <c r="V3" s="96" t="s">
        <v>178</v>
      </c>
      <c r="X3" s="12" t="s">
        <v>127</v>
      </c>
      <c r="Y3" s="34">
        <v>350</v>
      </c>
      <c r="Z3" s="34">
        <v>335</v>
      </c>
      <c r="AA3" s="34">
        <v>315</v>
      </c>
      <c r="AB3" s="34">
        <v>300</v>
      </c>
      <c r="AC3" s="34">
        <v>275</v>
      </c>
      <c r="AD3" s="34">
        <v>260</v>
      </c>
      <c r="AE3" s="34">
        <v>220</v>
      </c>
      <c r="AG3" s="27" t="s">
        <v>119</v>
      </c>
      <c r="AH3" s="27" t="s">
        <v>120</v>
      </c>
    </row>
    <row r="4" spans="2:35" ht="17" customHeight="1">
      <c r="B4" s="155"/>
      <c r="C4" s="48" t="s">
        <v>9</v>
      </c>
      <c r="D4" s="88">
        <v>0.01</v>
      </c>
      <c r="E4" s="162" t="s">
        <v>123</v>
      </c>
      <c r="F4" s="162"/>
      <c r="G4" s="162"/>
      <c r="I4" s="84" t="s">
        <v>10</v>
      </c>
      <c r="J4" s="85" t="s">
        <v>11</v>
      </c>
      <c r="K4" s="129" t="s">
        <v>12</v>
      </c>
      <c r="L4" s="79" t="s">
        <v>13</v>
      </c>
      <c r="M4" s="79" t="s">
        <v>13</v>
      </c>
      <c r="N4" s="80" t="s">
        <v>12</v>
      </c>
      <c r="O4" s="80" t="s">
        <v>13</v>
      </c>
      <c r="P4" s="80" t="s">
        <v>13</v>
      </c>
      <c r="Q4" s="81" t="s">
        <v>12</v>
      </c>
      <c r="R4" s="81" t="s">
        <v>13</v>
      </c>
      <c r="S4" s="81" t="s">
        <v>13</v>
      </c>
      <c r="T4" s="82" t="s">
        <v>13</v>
      </c>
      <c r="U4" s="83" t="str">
        <f>T4</f>
        <v>[%]</v>
      </c>
      <c r="V4" s="96" t="str">
        <f>U4</f>
        <v>[%]</v>
      </c>
      <c r="X4" s="12" t="s">
        <v>128</v>
      </c>
      <c r="Y4" s="34">
        <v>385</v>
      </c>
      <c r="Z4" s="34">
        <v>365</v>
      </c>
      <c r="AA4" s="34">
        <v>340</v>
      </c>
      <c r="AB4" s="34">
        <v>325</v>
      </c>
      <c r="AC4" s="34">
        <v>300</v>
      </c>
      <c r="AD4" s="34">
        <v>285</v>
      </c>
      <c r="AE4" s="34">
        <v>245</v>
      </c>
      <c r="AG4" s="45">
        <v>0</v>
      </c>
      <c r="AH4" s="93">
        <v>0</v>
      </c>
      <c r="AI4" s="91">
        <v>75</v>
      </c>
    </row>
    <row r="5" spans="2:35">
      <c r="B5" s="155"/>
      <c r="C5" s="48" t="s">
        <v>14</v>
      </c>
      <c r="D5" s="41">
        <v>9.5</v>
      </c>
      <c r="E5" s="165" t="s">
        <v>124</v>
      </c>
      <c r="F5" s="166"/>
      <c r="G5" s="167"/>
      <c r="I5" s="1">
        <v>75</v>
      </c>
      <c r="J5" s="2" t="s">
        <v>171</v>
      </c>
      <c r="K5" s="40">
        <f>IF($D$12="Grava 1", ARIDOS!D28,
 IF($D$12="Grava 2", ARIDOS!G28,
 IF($D$12="Grava 3", ARIDOS!J28,
 IF($D$12="Grava 4", ARIDOS!M28, ""))))</f>
        <v>0</v>
      </c>
      <c r="L5" s="4">
        <f>IF($D$12="Grava 1", ARIDOS!E28,
 IF($D$12="Grava 2", ARIDOS!H28,
 IF($D$12="Grava 3", ARIDOS!K28,
 IF($D$12="Grava 4", ARIDOS!N28, ""))))</f>
        <v>0</v>
      </c>
      <c r="M5" s="4">
        <f>IF($D$12="Grava 1", ARIDOS!F28,
 IF($D$12="Grava 2", ARIDOS!I28,
 IF($D$12="Grava 3", ARIDOS!L28,
 IF($D$12="Grava 4", ARIDOS!O28, ""))))</f>
        <v>1</v>
      </c>
      <c r="N5" s="5">
        <f>IF($D$11="Gravilla 1", ARIDOS!D5,
 IF($D$11="Gravilla 2", ARIDOS!G5,
 IF($D$11="Gravilla 3", ARIDOS!J5,
 IF($D$11="Gravilla 4", ARIDOS!M5, ""))))</f>
        <v>0</v>
      </c>
      <c r="O5" s="4">
        <f>IF($D$11="Gravilla 1", ARIDOS!E5,
 IF($D$11="Gravilla 2", ARIDOS!H5,
 IF($D$11="Gravilla 3", ARIDOS!K5,
 IF($D$11="Gravilla 4", ARIDOS!N5, ""))))</f>
        <v>0</v>
      </c>
      <c r="P5" s="4">
        <f>IF($D$11="Gravilla 1", ARIDOS!F5,
 IF($D$11="Gravilla 2", ARIDOS!I5,
 IF($D$11="Gravilla 3", ARIDOS!L5,
 IF($D$11="Gravilla 4", ARIDOS!O5, ""))))</f>
        <v>1</v>
      </c>
      <c r="Q5" s="5">
        <f>IF($D$10="Arena 1", ARIDOS!D52,
 IF($D$10="Arena 2", ARIDOS!G52,
 IF($D$10="Arena 3", ARIDOS!J52,
 IF($D$10="Arena 4", ARIDOS!M52, ""))))</f>
        <v>0</v>
      </c>
      <c r="R5" s="4">
        <f>IF($D$10="Arena 1", ARIDOS!E52,
 IF($D$10="Arena 2", ARIDOS!H52,
 IF($D$10="Arena 3", ARIDOS!K52,
 IF($D$10="Arena 4", ARIDOS!N52, ""))))</f>
        <v>0</v>
      </c>
      <c r="S5" s="4">
        <f>IF($D$10="Arena 1", ARIDOS!F52,
 IF($D$10="Arena 2", ARIDOS!I52,
 IF($D$10="Arena 3", ARIDOS!L52,
 IF($D$10="Arena 4", ARIDOS!O52, ""))))</f>
        <v>1</v>
      </c>
      <c r="T5" s="19">
        <f t="shared" ref="T5:T19" si="0">$C$27*M5+$C$28*P5+$C$29*S5</f>
        <v>1</v>
      </c>
      <c r="U5" s="14">
        <f t="shared" ref="U5:U19" si="1">$C$32*M5+$C$33*P5+$C$34*S5</f>
        <v>1</v>
      </c>
      <c r="V5" s="14">
        <f t="shared" ref="V5:V19" si="2">M5*$E$32+P5*$E$33+S5*$E$34</f>
        <v>1.0000000005709688</v>
      </c>
      <c r="X5" s="12" t="s">
        <v>129</v>
      </c>
      <c r="Y5" s="34">
        <v>400</v>
      </c>
      <c r="Z5" s="34">
        <v>375</v>
      </c>
      <c r="AA5" s="34">
        <v>350</v>
      </c>
      <c r="AB5" s="34">
        <v>330</v>
      </c>
      <c r="AC5" s="34">
        <v>305</v>
      </c>
      <c r="AD5" s="34">
        <v>290</v>
      </c>
      <c r="AE5" s="34">
        <v>255</v>
      </c>
      <c r="AG5" s="45">
        <v>0</v>
      </c>
      <c r="AH5" s="93">
        <v>0</v>
      </c>
      <c r="AI5" s="91">
        <v>63</v>
      </c>
    </row>
    <row r="6" spans="2:35" ht="30" customHeight="1">
      <c r="B6" s="155"/>
      <c r="C6" s="49" t="s">
        <v>16</v>
      </c>
      <c r="D6" s="42" t="s">
        <v>17</v>
      </c>
      <c r="E6" s="162" t="s">
        <v>165</v>
      </c>
      <c r="F6" s="162"/>
      <c r="G6" s="162"/>
      <c r="I6" s="1">
        <v>63</v>
      </c>
      <c r="J6" s="2" t="s">
        <v>221</v>
      </c>
      <c r="K6" s="40">
        <f>IF($D$12="Grava 1", ARIDOS!D29,
 IF($D$12="Grava 2", ARIDOS!G29,
 IF($D$12="Grava 3", ARIDOS!J29,
 IF($D$12="Grava 4", ARIDOS!M29, ""))))</f>
        <v>0</v>
      </c>
      <c r="L6" s="4">
        <f>IF($D$12="Grava 1", ARIDOS!E29,
 IF($D$12="Grava 2", ARIDOS!H29,
 IF($D$12="Grava 3", ARIDOS!K29,
 IF($D$12="Grava 4", ARIDOS!N29, ""))))</f>
        <v>0</v>
      </c>
      <c r="M6" s="4">
        <f>IF($D$12="Grava 1", ARIDOS!F29,
 IF($D$12="Grava 2", ARIDOS!I29,
 IF($D$12="Grava 3", ARIDOS!L29,
 IF($D$12="Grava 4", ARIDOS!O29, ""))))</f>
        <v>1</v>
      </c>
      <c r="N6" s="5">
        <f>IF($D$11="Gravilla 1", ARIDOS!D6,
 IF($D$11="Gravilla 2", ARIDOS!G6,
 IF($D$11="Gravilla 3", ARIDOS!J6,
 IF($D$11="Gravilla 4", ARIDOS!M6, ""))))</f>
        <v>0</v>
      </c>
      <c r="O6" s="4">
        <f>IF($D$11="Gravilla 1", ARIDOS!E6,
 IF($D$11="Gravilla 2", ARIDOS!H6,
 IF($D$11="Gravilla 3", ARIDOS!K6,
 IF($D$11="Gravilla 4", ARIDOS!N6, ""))))</f>
        <v>0</v>
      </c>
      <c r="P6" s="4">
        <f>IF($D$11="Gravilla 1", ARIDOS!F6,
 IF($D$11="Gravilla 2", ARIDOS!I6,
 IF($D$11="Gravilla 3", ARIDOS!L6,
 IF($D$11="Gravilla 4", ARIDOS!O6, ""))))</f>
        <v>1</v>
      </c>
      <c r="Q6" s="5">
        <f>IF($D$10="Arena 1", ARIDOS!D53,
 IF($D$10="Arena 2", ARIDOS!G53,
 IF($D$10="Arena 3", ARIDOS!J53,
 IF($D$10="Arena 4", ARIDOS!M53, ""))))</f>
        <v>0</v>
      </c>
      <c r="R6" s="4">
        <f>IF($D$10="Arena 1", ARIDOS!E53,
 IF($D$10="Arena 2", ARIDOS!H53,
 IF($D$10="Arena 3", ARIDOS!K53,
 IF($D$10="Arena 4", ARIDOS!N53, ""))))</f>
        <v>0</v>
      </c>
      <c r="S6" s="4">
        <f>IF($D$10="Arena 1", ARIDOS!F53,
 IF($D$10="Arena 2", ARIDOS!I53,
 IF($D$10="Arena 3", ARIDOS!L53,
 IF($D$10="Arena 4", ARIDOS!O53, ""))))</f>
        <v>1</v>
      </c>
      <c r="T6" s="19">
        <f t="shared" si="0"/>
        <v>1</v>
      </c>
      <c r="U6" s="14">
        <f t="shared" si="1"/>
        <v>1</v>
      </c>
      <c r="V6" s="14">
        <f t="shared" si="2"/>
        <v>1.0000000005709688</v>
      </c>
      <c r="X6" s="12" t="s">
        <v>130</v>
      </c>
      <c r="Y6" s="34">
        <v>410</v>
      </c>
      <c r="Z6" s="34">
        <v>385</v>
      </c>
      <c r="AA6" s="34">
        <v>360</v>
      </c>
      <c r="AB6" s="34">
        <v>340</v>
      </c>
      <c r="AC6" s="34">
        <v>315</v>
      </c>
      <c r="AD6" s="34">
        <v>300</v>
      </c>
      <c r="AE6" s="34">
        <v>270</v>
      </c>
      <c r="AG6" s="45">
        <v>0</v>
      </c>
      <c r="AH6" s="93">
        <v>0</v>
      </c>
      <c r="AI6" s="91">
        <v>50</v>
      </c>
    </row>
    <row r="7" spans="2:35" ht="35" customHeight="1">
      <c r="B7" s="155"/>
      <c r="C7" s="48" t="s">
        <v>19</v>
      </c>
      <c r="D7" s="41" t="s">
        <v>20</v>
      </c>
      <c r="E7" s="162" t="s">
        <v>125</v>
      </c>
      <c r="F7" s="162"/>
      <c r="G7" s="162"/>
      <c r="I7" s="1">
        <v>50</v>
      </c>
      <c r="J7" s="2" t="s">
        <v>170</v>
      </c>
      <c r="K7" s="40">
        <f>IF($D$12="Grava 1", ARIDOS!D30,
 IF($D$12="Grava 2", ARIDOS!G30,
 IF($D$12="Grava 3", ARIDOS!J30,
 IF($D$12="Grava 4", ARIDOS!M30, ""))))</f>
        <v>0</v>
      </c>
      <c r="L7" s="4">
        <f>IF($D$12="Grava 1", ARIDOS!E30,
 IF($D$12="Grava 2", ARIDOS!H30,
 IF($D$12="Grava 3", ARIDOS!K30,
 IF($D$12="Grava 4", ARIDOS!N30, ""))))</f>
        <v>0</v>
      </c>
      <c r="M7" s="4">
        <f>IF($D$12="Grava 1", ARIDOS!F30,
 IF($D$12="Grava 2", ARIDOS!I30,
 IF($D$12="Grava 3", ARIDOS!L30,
 IF($D$12="Grava 4", ARIDOS!O30, ""))))</f>
        <v>1</v>
      </c>
      <c r="N7" s="5">
        <f>IF($D$11="Gravilla 1", ARIDOS!D7,
 IF($D$11="Gravilla 2", ARIDOS!G7,
 IF($D$11="Gravilla 3", ARIDOS!J7,
 IF($D$11="Gravilla 4", ARIDOS!M7, ""))))</f>
        <v>0</v>
      </c>
      <c r="O7" s="4">
        <f>IF($D$11="Gravilla 1", ARIDOS!E7,
 IF($D$11="Gravilla 2", ARIDOS!H7,
 IF($D$11="Gravilla 3", ARIDOS!K7,
 IF($D$11="Gravilla 4", ARIDOS!N7, ""))))</f>
        <v>0</v>
      </c>
      <c r="P7" s="4">
        <f>IF($D$11="Gravilla 1", ARIDOS!F7,
 IF($D$11="Gravilla 2", ARIDOS!I7,
 IF($D$11="Gravilla 3", ARIDOS!L7,
 IF($D$11="Gravilla 4", ARIDOS!O7, ""))))</f>
        <v>1</v>
      </c>
      <c r="Q7" s="5">
        <f>IF($D$10="Arena 1", ARIDOS!D54,
 IF($D$10="Arena 2", ARIDOS!G54,
 IF($D$10="Arena 3", ARIDOS!J54,
 IF($D$10="Arena 4", ARIDOS!M54, ""))))</f>
        <v>0</v>
      </c>
      <c r="R7" s="4">
        <f>IF($D$10="Arena 1", ARIDOS!E54,
 IF($D$10="Arena 2", ARIDOS!H54,
 IF($D$10="Arena 3", ARIDOS!K54,
 IF($D$10="Arena 4", ARIDOS!N54, ""))))</f>
        <v>0</v>
      </c>
      <c r="S7" s="4">
        <f>IF($D$10="Arena 1", ARIDOS!F54,
 IF($D$10="Arena 2", ARIDOS!I54,
 IF($D$10="Arena 3", ARIDOS!L54,
 IF($D$10="Arena 4", ARIDOS!O54, ""))))</f>
        <v>1</v>
      </c>
      <c r="T7" s="19">
        <f t="shared" si="0"/>
        <v>1</v>
      </c>
      <c r="U7" s="14">
        <f t="shared" si="1"/>
        <v>1</v>
      </c>
      <c r="V7" s="14">
        <f t="shared" si="2"/>
        <v>1.0000000005709688</v>
      </c>
      <c r="X7" s="12" t="s">
        <v>131</v>
      </c>
      <c r="Y7" s="15"/>
      <c r="Z7" s="15"/>
      <c r="AA7" s="15"/>
      <c r="AB7" s="15"/>
      <c r="AC7" s="15"/>
      <c r="AD7" s="15"/>
      <c r="AE7" s="15"/>
      <c r="AG7" s="45">
        <v>2.5000000000000001E-2</v>
      </c>
      <c r="AH7" s="93">
        <v>0</v>
      </c>
      <c r="AI7" s="91">
        <v>37.5</v>
      </c>
    </row>
    <row r="8" spans="2:35" ht="63">
      <c r="B8" s="155"/>
      <c r="C8" s="48" t="s">
        <v>22</v>
      </c>
      <c r="D8" s="41" t="s">
        <v>23</v>
      </c>
      <c r="E8" s="150" t="s">
        <v>141</v>
      </c>
      <c r="F8" s="150"/>
      <c r="G8" s="150"/>
      <c r="I8" s="1">
        <v>37.5</v>
      </c>
      <c r="J8" s="2" t="s">
        <v>222</v>
      </c>
      <c r="K8" s="40">
        <f>IF($D$12="Grava 1", ARIDOS!D31,
 IF($D$12="Grava 2", ARIDOS!G31,
 IF($D$12="Grava 3", ARIDOS!J31,
 IF($D$12="Grava 4", ARIDOS!M31, ""))))</f>
        <v>60</v>
      </c>
      <c r="L8" s="4">
        <f>IF($D$12="Grava 1", ARIDOS!E31,
 IF($D$12="Grava 2", ARIDOS!H31,
 IF($D$12="Grava 3", ARIDOS!K31,
 IF($D$12="Grava 4", ARIDOS!N31, ""))))</f>
        <v>0.06</v>
      </c>
      <c r="M8" s="4">
        <f>IF($D$12="Grava 1", ARIDOS!F31,
 IF($D$12="Grava 2", ARIDOS!I31,
 IF($D$12="Grava 3", ARIDOS!L31,
 IF($D$12="Grava 4", ARIDOS!O31, ""))))</f>
        <v>0.94</v>
      </c>
      <c r="N8" s="5">
        <f>IF($D$11="Gravilla 1", ARIDOS!D8,
 IF($D$11="Gravilla 2", ARIDOS!G8,
 IF($D$11="Gravilla 3", ARIDOS!J8,
 IF($D$11="Gravilla 4", ARIDOS!M8, ""))))</f>
        <v>0</v>
      </c>
      <c r="O8" s="4">
        <f>IF($D$11="Gravilla 1", ARIDOS!E8,
 IF($D$11="Gravilla 2", ARIDOS!H8,
 IF($D$11="Gravilla 3", ARIDOS!K8,
 IF($D$11="Gravilla 4", ARIDOS!N8, ""))))</f>
        <v>0</v>
      </c>
      <c r="P8" s="4">
        <f>IF($D$11="Gravilla 1", ARIDOS!F8,
 IF($D$11="Gravilla 2", ARIDOS!I8,
 IF($D$11="Gravilla 3", ARIDOS!L8,
 IF($D$11="Gravilla 4", ARIDOS!O8, ""))))</f>
        <v>1</v>
      </c>
      <c r="Q8" s="5">
        <f>IF($D$10="Arena 1", ARIDOS!D55,
 IF($D$10="Arena 2", ARIDOS!G55,
 IF($D$10="Arena 3", ARIDOS!J55,
 IF($D$10="Arena 4", ARIDOS!M55, ""))))</f>
        <v>0</v>
      </c>
      <c r="R8" s="4">
        <f>IF($D$10="Arena 1", ARIDOS!E55,
 IF($D$10="Arena 2", ARIDOS!H55,
 IF($D$10="Arena 3", ARIDOS!K55,
 IF($D$10="Arena 4", ARIDOS!N55, ""))))</f>
        <v>0</v>
      </c>
      <c r="S8" s="4">
        <f>IF($D$10="Arena 1", ARIDOS!F55,
 IF($D$10="Arena 2", ARIDOS!I55,
 IF($D$10="Arena 3", ARIDOS!L55,
 IF($D$10="Arena 4", ARIDOS!O55, ""))))</f>
        <v>1</v>
      </c>
      <c r="T8" s="19">
        <f t="shared" si="0"/>
        <v>0.98799999999999999</v>
      </c>
      <c r="U8" s="14">
        <f t="shared" si="1"/>
        <v>0.98799999999999999</v>
      </c>
      <c r="V8" s="14">
        <f t="shared" si="2"/>
        <v>0.9884812506177012</v>
      </c>
      <c r="X8" s="105" t="s">
        <v>132</v>
      </c>
      <c r="Y8" s="107">
        <v>0.03</v>
      </c>
      <c r="Z8" s="107">
        <v>2.5000000000000001E-2</v>
      </c>
      <c r="AA8" s="107">
        <v>0.02</v>
      </c>
      <c r="AB8" s="107">
        <v>1.4999999999999999E-2</v>
      </c>
      <c r="AC8" s="107">
        <v>0.01</v>
      </c>
      <c r="AD8" s="107">
        <v>5.0000000000000001E-3</v>
      </c>
      <c r="AE8" s="107">
        <v>3.0000000000000001E-3</v>
      </c>
      <c r="AG8" s="45">
        <v>0.15</v>
      </c>
      <c r="AH8" s="93">
        <v>0</v>
      </c>
      <c r="AI8" s="91">
        <v>25</v>
      </c>
    </row>
    <row r="9" spans="2:35" ht="34.049999999999997" customHeight="1">
      <c r="B9" s="155"/>
      <c r="C9" s="48" t="s">
        <v>25</v>
      </c>
      <c r="D9" s="41" t="s">
        <v>26</v>
      </c>
      <c r="E9" s="162" t="s">
        <v>140</v>
      </c>
      <c r="F9" s="162"/>
      <c r="G9" s="162"/>
      <c r="I9" s="1">
        <v>25</v>
      </c>
      <c r="J9" s="2" t="s">
        <v>169</v>
      </c>
      <c r="K9" s="40">
        <f>IF($D$12="Grava 1", ARIDOS!D32,
 IF($D$12="Grava 2", ARIDOS!G32,
 IF($D$12="Grava 3", ARIDOS!J32,
 IF($D$12="Grava 4", ARIDOS!M32, ""))))</f>
        <v>320</v>
      </c>
      <c r="L9" s="4">
        <f>IF($D$12="Grava 1", ARIDOS!E32,
 IF($D$12="Grava 2", ARIDOS!H32,
 IF($D$12="Grava 3", ARIDOS!K32,
 IF($D$12="Grava 4", ARIDOS!N32, ""))))</f>
        <v>0.32</v>
      </c>
      <c r="M9" s="4">
        <f>IF($D$12="Grava 1", ARIDOS!F32,
 IF($D$12="Grava 2", ARIDOS!I32,
 IF($D$12="Grava 3", ARIDOS!L32,
 IF($D$12="Grava 4", ARIDOS!O32, ""))))</f>
        <v>0.62</v>
      </c>
      <c r="N9" s="5">
        <f>IF($D$11="Gravilla 1", ARIDOS!D9,
 IF($D$11="Gravilla 2", ARIDOS!G9,
 IF($D$11="Gravilla 3", ARIDOS!J9,
 IF($D$11="Gravilla 4", ARIDOS!M9, ""))))</f>
        <v>0</v>
      </c>
      <c r="O9" s="4">
        <f>IF($D$11="Gravilla 1", ARIDOS!E9,
 IF($D$11="Gravilla 2", ARIDOS!H9,
 IF($D$11="Gravilla 3", ARIDOS!K9,
 IF($D$11="Gravilla 4", ARIDOS!N9, ""))))</f>
        <v>0</v>
      </c>
      <c r="P9" s="4">
        <f>IF($D$11="Gravilla 1", ARIDOS!F9,
 IF($D$11="Gravilla 2", ARIDOS!I9,
 IF($D$11="Gravilla 3", ARIDOS!L9,
 IF($D$11="Gravilla 4", ARIDOS!O9, ""))))</f>
        <v>1</v>
      </c>
      <c r="Q9" s="5">
        <f>IF($D$10="Arena 1", ARIDOS!D56,
 IF($D$10="Arena 2", ARIDOS!G56,
 IF($D$10="Arena 3", ARIDOS!J56,
 IF($D$10="Arena 4", ARIDOS!M56, ""))))</f>
        <v>0</v>
      </c>
      <c r="R9" s="4">
        <f>IF($D$10="Arena 1", ARIDOS!E56,
 IF($D$10="Arena 2", ARIDOS!H56,
 IF($D$10="Arena 3", ARIDOS!K56,
 IF($D$10="Arena 4", ARIDOS!N56, ""))))</f>
        <v>0</v>
      </c>
      <c r="S9" s="4">
        <f>IF($D$10="Arena 1", ARIDOS!F56,
 IF($D$10="Arena 2", ARIDOS!I56,
 IF($D$10="Arena 3", ARIDOS!L56,
 IF($D$10="Arena 4", ARIDOS!O56, ""))))</f>
        <v>1</v>
      </c>
      <c r="T9" s="19">
        <f t="shared" si="0"/>
        <v>0.92399999999999993</v>
      </c>
      <c r="U9" s="14">
        <f t="shared" si="1"/>
        <v>0.92399999999999993</v>
      </c>
      <c r="V9" s="14">
        <f t="shared" si="2"/>
        <v>0.92704791753360705</v>
      </c>
      <c r="AG9" s="45">
        <v>0.2</v>
      </c>
      <c r="AH9" s="93">
        <v>0</v>
      </c>
      <c r="AI9" s="91">
        <v>19</v>
      </c>
    </row>
    <row r="10" spans="2:35">
      <c r="B10" s="155"/>
      <c r="C10" s="50" t="s">
        <v>28</v>
      </c>
      <c r="D10" s="43" t="s">
        <v>229</v>
      </c>
      <c r="E10" s="150" t="s">
        <v>217</v>
      </c>
      <c r="F10" s="150"/>
      <c r="G10" s="150"/>
      <c r="I10" s="1">
        <v>19</v>
      </c>
      <c r="J10" s="2" t="s">
        <v>168</v>
      </c>
      <c r="K10" s="40">
        <f>IF($D$12="Grava 1", ARIDOS!D33,
 IF($D$12="Grava 2", ARIDOS!G33,
 IF($D$12="Grava 3", ARIDOS!J33,
 IF($D$12="Grava 4", ARIDOS!M33, ""))))</f>
        <v>480</v>
      </c>
      <c r="L10" s="4">
        <f>IF($D$12="Grava 1", ARIDOS!E33,
 IF($D$12="Grava 2", ARIDOS!H33,
 IF($D$12="Grava 3", ARIDOS!K33,
 IF($D$12="Grava 4", ARIDOS!N33, ""))))</f>
        <v>0.48</v>
      </c>
      <c r="M10" s="4">
        <f>IF($D$12="Grava 1", ARIDOS!F33,
 IF($D$12="Grava 2", ARIDOS!I33,
 IF($D$12="Grava 3", ARIDOS!L33,
 IF($D$12="Grava 4", ARIDOS!O33, ""))))</f>
        <v>0.14000000000000001</v>
      </c>
      <c r="N10" s="5">
        <f>IF($D$11="Gravilla 1", ARIDOS!D10,
 IF($D$11="Gravilla 2", ARIDOS!G10,
 IF($D$11="Gravilla 3", ARIDOS!J10,
 IF($D$11="Gravilla 4", ARIDOS!M10, ""))))</f>
        <v>50</v>
      </c>
      <c r="O10" s="4">
        <f>IF($D$11="Gravilla 1", ARIDOS!E10,
 IF($D$11="Gravilla 2", ARIDOS!H10,
 IF($D$11="Gravilla 3", ARIDOS!K10,
 IF($D$11="Gravilla 4", ARIDOS!N10, ""))))</f>
        <v>0.05</v>
      </c>
      <c r="P10" s="4">
        <f>IF($D$11="Gravilla 1", ARIDOS!F10,
 IF($D$11="Gravilla 2", ARIDOS!I10,
 IF($D$11="Gravilla 3", ARIDOS!L10,
 IF($D$11="Gravilla 4", ARIDOS!O10, ""))))</f>
        <v>0.95</v>
      </c>
      <c r="Q10" s="5">
        <f>IF($D$10="Arena 1", ARIDOS!D57,
 IF($D$10="Arena 2", ARIDOS!G57,
 IF($D$10="Arena 3", ARIDOS!J57,
 IF($D$10="Arena 4", ARIDOS!M57, ""))))</f>
        <v>0</v>
      </c>
      <c r="R10" s="4">
        <f>IF($D$10="Arena 1", ARIDOS!E57,
 IF($D$10="Arena 2", ARIDOS!H57,
 IF($D$10="Arena 3", ARIDOS!K57,
 IF($D$10="Arena 4", ARIDOS!N57, ""))))</f>
        <v>0</v>
      </c>
      <c r="S10" s="4">
        <f>IF($D$10="Arena 1", ARIDOS!F57,
 IF($D$10="Arena 2", ARIDOS!I57,
 IF($D$10="Arena 3", ARIDOS!L57,
 IF($D$10="Arena 4", ARIDOS!O57, ""))))</f>
        <v>1</v>
      </c>
      <c r="T10" s="19">
        <f t="shared" si="0"/>
        <v>0.81299999999999994</v>
      </c>
      <c r="U10" s="14">
        <f t="shared" si="1"/>
        <v>0.81299999999999994</v>
      </c>
      <c r="V10" s="14">
        <f t="shared" si="2"/>
        <v>0.82046597218090933</v>
      </c>
      <c r="AG10" s="45">
        <v>0.2</v>
      </c>
      <c r="AH10" s="93">
        <v>0.05</v>
      </c>
      <c r="AI10" s="91">
        <v>12.5</v>
      </c>
    </row>
    <row r="11" spans="2:35">
      <c r="B11" s="155"/>
      <c r="C11" s="50" t="s">
        <v>30</v>
      </c>
      <c r="D11" s="43" t="s">
        <v>228</v>
      </c>
      <c r="E11" s="150" t="s">
        <v>218</v>
      </c>
      <c r="F11" s="150"/>
      <c r="G11" s="150"/>
      <c r="I11" s="1">
        <v>12.5</v>
      </c>
      <c r="J11" s="2" t="s">
        <v>167</v>
      </c>
      <c r="K11" s="40">
        <f>IF($D$12="Grava 1", ARIDOS!D34,
 IF($D$12="Grava 2", ARIDOS!G34,
 IF($D$12="Grava 3", ARIDOS!J34,
 IF($D$12="Grava 4", ARIDOS!M34, ""))))</f>
        <v>60</v>
      </c>
      <c r="L11" s="4">
        <f>IF($D$12="Grava 1", ARIDOS!E34,
 IF($D$12="Grava 2", ARIDOS!H34,
 IF($D$12="Grava 3", ARIDOS!K34,
 IF($D$12="Grava 4", ARIDOS!N34, ""))))</f>
        <v>0.06</v>
      </c>
      <c r="M11" s="4">
        <f>IF($D$12="Grava 1", ARIDOS!F34,
 IF($D$12="Grava 2", ARIDOS!I34,
 IF($D$12="Grava 3", ARIDOS!L34,
 IF($D$12="Grava 4", ARIDOS!O34, ""))))</f>
        <v>8.0000000000000016E-2</v>
      </c>
      <c r="N11" s="5">
        <f>IF($D$11="Gravilla 1", ARIDOS!D11,
 IF($D$11="Gravilla 2", ARIDOS!G11,
 IF($D$11="Gravilla 3", ARIDOS!J11,
 IF($D$11="Gravilla 4", ARIDOS!M11, ""))))</f>
        <v>350</v>
      </c>
      <c r="O11" s="4">
        <f>IF($D$11="Gravilla 1", ARIDOS!E11,
 IF($D$11="Gravilla 2", ARIDOS!H11,
 IF($D$11="Gravilla 3", ARIDOS!K11,
 IF($D$11="Gravilla 4", ARIDOS!N11, ""))))</f>
        <v>0.35</v>
      </c>
      <c r="P11" s="4">
        <f>IF($D$11="Gravilla 1", ARIDOS!F11,
 IF($D$11="Gravilla 2", ARIDOS!I11,
 IF($D$11="Gravilla 3", ARIDOS!L11,
 IF($D$11="Gravilla 4", ARIDOS!O11, ""))))</f>
        <v>0.6</v>
      </c>
      <c r="Q11" s="5">
        <f>IF($D$10="Arena 1", ARIDOS!D58,
 IF($D$10="Arena 2", ARIDOS!G58,
 IF($D$10="Arena 3", ARIDOS!J58,
 IF($D$10="Arena 4", ARIDOS!M58, ""))))</f>
        <v>0</v>
      </c>
      <c r="R11" s="4">
        <f>IF($D$10="Arena 1", ARIDOS!E58,
 IF($D$10="Arena 2", ARIDOS!H58,
 IF($D$10="Arena 3", ARIDOS!K58,
 IF($D$10="Arena 4", ARIDOS!N58, ""))))</f>
        <v>0</v>
      </c>
      <c r="S11" s="4">
        <f>IF($D$10="Arena 1", ARIDOS!F58,
 IF($D$10="Arena 2", ARIDOS!I58,
 IF($D$10="Arena 3", ARIDOS!L58,
 IF($D$10="Arena 4", ARIDOS!O58, ""))))</f>
        <v>1</v>
      </c>
      <c r="T11" s="19">
        <f t="shared" si="0"/>
        <v>0.69599999999999995</v>
      </c>
      <c r="U11" s="14">
        <f t="shared" si="1"/>
        <v>0.69599999999999995</v>
      </c>
      <c r="V11" s="14">
        <f t="shared" si="2"/>
        <v>0.70792360214174754</v>
      </c>
      <c r="AG11" s="45">
        <v>0.2</v>
      </c>
      <c r="AH11" s="93">
        <v>0.05</v>
      </c>
      <c r="AI11" s="91">
        <v>9.5</v>
      </c>
    </row>
    <row r="12" spans="2:35">
      <c r="B12" s="156"/>
      <c r="C12" s="99" t="s">
        <v>32</v>
      </c>
      <c r="D12" s="100" t="s">
        <v>227</v>
      </c>
      <c r="E12" s="168">
        <v>0.25</v>
      </c>
      <c r="F12" s="169"/>
      <c r="G12" s="169"/>
      <c r="I12" s="1">
        <v>9.5</v>
      </c>
      <c r="J12" s="2" t="s">
        <v>166</v>
      </c>
      <c r="K12" s="40">
        <f>IF($D$12="Grava 1", ARIDOS!D35,
 IF($D$12="Grava 2", ARIDOS!G35,
 IF($D$12="Grava 3", ARIDOS!J35,
 IF($D$12="Grava 4", ARIDOS!M35, ""))))</f>
        <v>80</v>
      </c>
      <c r="L12" s="4">
        <f>IF($D$12="Grava 1", ARIDOS!E35,
 IF($D$12="Grava 2", ARIDOS!H35,
 IF($D$12="Grava 3", ARIDOS!K35,
 IF($D$12="Grava 4", ARIDOS!N35, ""))))</f>
        <v>0.08</v>
      </c>
      <c r="M12" s="4">
        <f>IF($D$12="Grava 1", ARIDOS!F35,
 IF($D$12="Grava 2", ARIDOS!I35,
 IF($D$12="Grava 3", ARIDOS!L35,
 IF($D$12="Grava 4", ARIDOS!O35, ""))))</f>
        <v>0</v>
      </c>
      <c r="N12" s="5">
        <f>IF($D$11="Gravilla 1", ARIDOS!D12,
 IF($D$11="Gravilla 2", ARIDOS!G12,
 IF($D$11="Gravilla 3", ARIDOS!J12,
 IF($D$11="Gravilla 4", ARIDOS!M12, ""))))</f>
        <v>120</v>
      </c>
      <c r="O12" s="4">
        <f>IF($D$11="Gravilla 1", ARIDOS!E12,
 IF($D$11="Gravilla 2", ARIDOS!H12,
 IF($D$11="Gravilla 3", ARIDOS!K12,
 IF($D$11="Gravilla 4", ARIDOS!N12, ""))))</f>
        <v>0.12</v>
      </c>
      <c r="P12" s="4">
        <f>IF($D$11="Gravilla 1", ARIDOS!F12,
 IF($D$11="Gravilla 2", ARIDOS!I12,
 IF($D$11="Gravilla 3", ARIDOS!L12,
 IF($D$11="Gravilla 4", ARIDOS!O12, ""))))</f>
        <v>0.48</v>
      </c>
      <c r="Q12" s="5">
        <f>IF($D$10="Arena 1", ARIDOS!D59,
 IF($D$10="Arena 2", ARIDOS!G59,
 IF($D$10="Arena 3", ARIDOS!J59,
 IF($D$10="Arena 4", ARIDOS!M59, ""))))</f>
        <v>0</v>
      </c>
      <c r="R12" s="4">
        <f>IF($D$10="Arena 1", ARIDOS!E59,
 IF($D$10="Arena 2", ARIDOS!H59,
 IF($D$10="Arena 3", ARIDOS!K59,
 IF($D$10="Arena 4", ARIDOS!N59, ""))))</f>
        <v>0</v>
      </c>
      <c r="S12" s="4">
        <f>IF($D$10="Arena 1", ARIDOS!F59,
 IF($D$10="Arena 2", ARIDOS!I59,
 IF($D$10="Arena 3", ARIDOS!L59,
 IF($D$10="Arena 4", ARIDOS!O59, ""))))</f>
        <v>1</v>
      </c>
      <c r="T12" s="19">
        <f t="shared" si="0"/>
        <v>0.64400000000000002</v>
      </c>
      <c r="U12" s="14">
        <f t="shared" si="1"/>
        <v>0.64400000000000002</v>
      </c>
      <c r="V12" s="14">
        <f t="shared" si="2"/>
        <v>0.65792859912698887</v>
      </c>
      <c r="AG12" s="45">
        <v>0.2</v>
      </c>
      <c r="AH12" s="93">
        <v>0.05</v>
      </c>
      <c r="AI12" s="91">
        <v>6.3</v>
      </c>
    </row>
    <row r="13" spans="2:35">
      <c r="B13" s="46"/>
      <c r="C13" s="44" t="s">
        <v>183</v>
      </c>
      <c r="D13" s="101">
        <v>0</v>
      </c>
      <c r="E13" s="150" t="s">
        <v>184</v>
      </c>
      <c r="F13" s="150"/>
      <c r="G13" s="150"/>
      <c r="I13" s="1">
        <v>6.3</v>
      </c>
      <c r="J13" s="2" t="s">
        <v>223</v>
      </c>
      <c r="K13" s="40">
        <f>IF($D$12="Grava 1", ARIDOS!D36,
 IF($D$12="Grava 2", ARIDOS!G36,
 IF($D$12="Grava 3", ARIDOS!J36,
 IF($D$12="Grava 4", ARIDOS!M36, ""))))</f>
        <v>0</v>
      </c>
      <c r="L13" s="4">
        <f>IF($D$12="Grava 1", ARIDOS!E36,
 IF($D$12="Grava 2", ARIDOS!H36,
 IF($D$12="Grava 3", ARIDOS!K36,
 IF($D$12="Grava 4", ARIDOS!N36, ""))))</f>
        <v>0</v>
      </c>
      <c r="M13" s="4">
        <f>IF($D$12="Grava 1", ARIDOS!F36,
 IF($D$12="Grava 2", ARIDOS!I36,
 IF($D$12="Grava 3", ARIDOS!L36,
 IF($D$12="Grava 4", ARIDOS!O36, ""))))</f>
        <v>0</v>
      </c>
      <c r="N13" s="5">
        <f>IF($D$11="Gravilla 1", ARIDOS!D13,
 IF($D$11="Gravilla 2", ARIDOS!G13,
 IF($D$11="Gravilla 3", ARIDOS!J13,
 IF($D$11="Gravilla 4", ARIDOS!M13, ""))))</f>
        <v>280</v>
      </c>
      <c r="O13" s="4">
        <f>IF($D$11="Gravilla 1", ARIDOS!E13,
 IF($D$11="Gravilla 2", ARIDOS!H13,
 IF($D$11="Gravilla 3", ARIDOS!K13,
 IF($D$11="Gravilla 4", ARIDOS!N13, ""))))</f>
        <v>0.28000000000000003</v>
      </c>
      <c r="P13" s="4">
        <f>IF($D$11="Gravilla 1", ARIDOS!F13,
 IF($D$11="Gravilla 2", ARIDOS!I13,
 IF($D$11="Gravilla 3", ARIDOS!L13,
 IF($D$11="Gravilla 4", ARIDOS!O13, ""))))</f>
        <v>0.19999999999999996</v>
      </c>
      <c r="Q13" s="5">
        <f>IF($D$10="Arena 1", ARIDOS!D60,
 IF($D$10="Arena 2", ARIDOS!G60,
 IF($D$10="Arena 3", ARIDOS!J60,
 IF($D$10="Arena 4", ARIDOS!M60, ""))))</f>
        <v>40</v>
      </c>
      <c r="R13" s="4">
        <f>IF($D$10="Arena 1", ARIDOS!E60,
 IF($D$10="Arena 2", ARIDOS!H60,
 IF($D$10="Arena 3", ARIDOS!K60,
 IF($D$10="Arena 4", ARIDOS!N60, ""))))</f>
        <v>0.04</v>
      </c>
      <c r="S13" s="4">
        <f>IF($D$10="Arena 1", ARIDOS!F60,
 IF($D$10="Arena 2", ARIDOS!I60,
 IF($D$10="Arena 3", ARIDOS!L60,
 IF($D$10="Arena 4", ARIDOS!O60, ""))))</f>
        <v>0.96</v>
      </c>
      <c r="T13" s="19">
        <f t="shared" si="0"/>
        <v>0.53999999999999992</v>
      </c>
      <c r="U13" s="14">
        <f t="shared" si="1"/>
        <v>0.53999999999999992</v>
      </c>
      <c r="V13" s="14">
        <f t="shared" si="2"/>
        <v>0.55633442625219165</v>
      </c>
      <c r="AG13" s="45">
        <v>0.2</v>
      </c>
      <c r="AH13" s="93">
        <v>0.05</v>
      </c>
      <c r="AI13" s="91">
        <v>4.75</v>
      </c>
    </row>
    <row r="14" spans="2:35">
      <c r="B14" s="46"/>
      <c r="C14" s="44" t="s">
        <v>224</v>
      </c>
      <c r="D14" s="101">
        <v>0</v>
      </c>
      <c r="E14" s="165" t="s">
        <v>225</v>
      </c>
      <c r="F14" s="166"/>
      <c r="G14" s="167"/>
      <c r="I14" s="1">
        <v>4.75</v>
      </c>
      <c r="J14" s="2" t="s">
        <v>35</v>
      </c>
      <c r="K14" s="40">
        <f>IF($D$12="Grava 1", ARIDOS!D37,
 IF($D$12="Grava 2", ARIDOS!G37,
 IF($D$12="Grava 3", ARIDOS!J37,
 IF($D$12="Grava 4", ARIDOS!M37, ""))))</f>
        <v>0</v>
      </c>
      <c r="L14" s="4">
        <f>IF($D$12="Grava 1", ARIDOS!E37,
 IF($D$12="Grava 2", ARIDOS!H37,
 IF($D$12="Grava 3", ARIDOS!K37,
 IF($D$12="Grava 4", ARIDOS!N37, ""))))</f>
        <v>0</v>
      </c>
      <c r="M14" s="4">
        <f>IF($D$12="Grava 1", ARIDOS!F37,
 IF($D$12="Grava 2", ARIDOS!I37,
 IF($D$12="Grava 3", ARIDOS!L37,
 IF($D$12="Grava 4", ARIDOS!O37, ""))))</f>
        <v>0</v>
      </c>
      <c r="N14" s="5">
        <f>IF($D$11="Gravilla 1", ARIDOS!D14,
 IF($D$11="Gravilla 2", ARIDOS!G14,
 IF($D$11="Gravilla 3", ARIDOS!J14,
 IF($D$11="Gravilla 4", ARIDOS!M14, ""))))</f>
        <v>80</v>
      </c>
      <c r="O14" s="4">
        <f>IF($D$11="Gravilla 1", ARIDOS!E14,
 IF($D$11="Gravilla 2", ARIDOS!H14,
 IF($D$11="Gravilla 3", ARIDOS!K14,
 IF($D$11="Gravilla 4", ARIDOS!N14, ""))))</f>
        <v>0.08</v>
      </c>
      <c r="P14" s="4">
        <f>IF($D$11="Gravilla 1", ARIDOS!F14,
 IF($D$11="Gravilla 2", ARIDOS!I14,
 IF($D$11="Gravilla 3", ARIDOS!L14,
 IF($D$11="Gravilla 4", ARIDOS!O14, ""))))</f>
        <v>0.11999999999999995</v>
      </c>
      <c r="Q14" s="5">
        <f>IF($D$10="Arena 1", ARIDOS!D61,
 IF($D$10="Arena 2", ARIDOS!G61,
 IF($D$10="Arena 3", ARIDOS!J61,
 IF($D$10="Arena 4", ARIDOS!M61, ""))))</f>
        <v>280</v>
      </c>
      <c r="R14" s="4">
        <f>IF($D$10="Arena 1", ARIDOS!E61,
 IF($D$10="Arena 2", ARIDOS!H61,
 IF($D$10="Arena 3", ARIDOS!K61,
 IF($D$10="Arena 4", ARIDOS!N61, ""))))</f>
        <v>0.28000000000000003</v>
      </c>
      <c r="S14" s="4">
        <f>IF($D$10="Arena 1", ARIDOS!F61,
 IF($D$10="Arena 2", ARIDOS!I61,
 IF($D$10="Arena 3", ARIDOS!L61,
 IF($D$10="Arena 4", ARIDOS!O61, ""))))</f>
        <v>0.67999999999999994</v>
      </c>
      <c r="T14" s="19">
        <f t="shared" si="0"/>
        <v>0.37599999999999995</v>
      </c>
      <c r="U14" s="14">
        <f t="shared" si="1"/>
        <v>0.37599999999999995</v>
      </c>
      <c r="V14" s="14">
        <f t="shared" si="2"/>
        <v>0.38781637544712794</v>
      </c>
      <c r="AG14" s="45">
        <v>0.125</v>
      </c>
      <c r="AH14" s="93">
        <v>0</v>
      </c>
      <c r="AI14" s="91">
        <v>2.36</v>
      </c>
    </row>
    <row r="15" spans="2:35">
      <c r="B15" s="46"/>
      <c r="C15" s="46"/>
      <c r="D15" s="130"/>
      <c r="I15" s="1">
        <v>2.36</v>
      </c>
      <c r="J15" s="2" t="s">
        <v>36</v>
      </c>
      <c r="K15" s="40">
        <f>IF($D$12="Grava 1", ARIDOS!D38,
 IF($D$12="Grava 2", ARIDOS!G38,
 IF($D$12="Grava 3", ARIDOS!J38,
 IF($D$12="Grava 4", ARIDOS!M38, ""))))</f>
        <v>0</v>
      </c>
      <c r="L15" s="4">
        <f>IF($D$12="Grava 1", ARIDOS!E38,
 IF($D$12="Grava 2", ARIDOS!H38,
 IF($D$12="Grava 3", ARIDOS!K38,
 IF($D$12="Grava 4", ARIDOS!N38, ""))))</f>
        <v>0</v>
      </c>
      <c r="M15" s="4">
        <f>IF($D$12="Grava 1", ARIDOS!F38,
 IF($D$12="Grava 2", ARIDOS!I38,
 IF($D$12="Grava 3", ARIDOS!L38,
 IF($D$12="Grava 4", ARIDOS!O38, ""))))</f>
        <v>0</v>
      </c>
      <c r="N15" s="5">
        <f>IF($D$11="Gravilla 1", ARIDOS!D15,
 IF($D$11="Gravilla 2", ARIDOS!G15,
 IF($D$11="Gravilla 3", ARIDOS!J15,
 IF($D$11="Gravilla 4", ARIDOS!M15, ""))))</f>
        <v>120</v>
      </c>
      <c r="O15" s="4">
        <f>IF($D$11="Gravilla 1", ARIDOS!E15,
 IF($D$11="Gravilla 2", ARIDOS!H15,
 IF($D$11="Gravilla 3", ARIDOS!K15,
 IF($D$11="Gravilla 4", ARIDOS!N15, ""))))</f>
        <v>0.12</v>
      </c>
      <c r="P15" s="4">
        <f>IF($D$11="Gravilla 1", ARIDOS!F15,
 IF($D$11="Gravilla 2", ARIDOS!I15,
 IF($D$11="Gravilla 3", ARIDOS!L15,
 IF($D$11="Gravilla 4", ARIDOS!O15, ""))))</f>
        <v>0</v>
      </c>
      <c r="Q15" s="5">
        <f>IF($D$10="Arena 1", ARIDOS!D62,
 IF($D$10="Arena 2", ARIDOS!G62,
 IF($D$10="Arena 3", ARIDOS!J62,
 IF($D$10="Arena 4", ARIDOS!M62, ""))))</f>
        <v>130</v>
      </c>
      <c r="R15" s="4">
        <f>IF($D$10="Arena 1", ARIDOS!E62,
 IF($D$10="Arena 2", ARIDOS!H62,
 IF($D$10="Arena 3", ARIDOS!K62,
 IF($D$10="Arena 4", ARIDOS!N62, ""))))</f>
        <v>0.13</v>
      </c>
      <c r="S15" s="4">
        <f>IF($D$10="Arena 1", ARIDOS!F62,
 IF($D$10="Arena 2", ARIDOS!I62,
 IF($D$10="Arena 3", ARIDOS!L62,
 IF($D$10="Arena 4", ARIDOS!O62, ""))))</f>
        <v>0.54999999999999993</v>
      </c>
      <c r="T15" s="19">
        <f t="shared" si="0"/>
        <v>0.27499999999999997</v>
      </c>
      <c r="U15" s="14">
        <f t="shared" si="1"/>
        <v>0.27499999999999997</v>
      </c>
      <c r="V15" s="14">
        <f t="shared" si="2"/>
        <v>0.28566005608362655</v>
      </c>
      <c r="AG15" s="45">
        <v>0.125</v>
      </c>
      <c r="AH15" s="93">
        <v>0</v>
      </c>
      <c r="AI15" s="91">
        <v>1.18</v>
      </c>
    </row>
    <row r="16" spans="2:35">
      <c r="B16" s="46"/>
      <c r="C16" s="46"/>
      <c r="D16" s="177"/>
      <c r="E16" s="177"/>
      <c r="F16" s="177"/>
      <c r="I16" s="1">
        <v>1.18</v>
      </c>
      <c r="J16" s="2" t="s">
        <v>38</v>
      </c>
      <c r="K16" s="40">
        <f>IF($D$12="Grava 1", ARIDOS!D39,
 IF($D$12="Grava 2", ARIDOS!G39,
 IF($D$12="Grava 3", ARIDOS!J39,
 IF($D$12="Grava 4", ARIDOS!M39, ""))))</f>
        <v>0</v>
      </c>
      <c r="L16" s="4">
        <f>IF($D$12="Grava 1", ARIDOS!E39,
 IF($D$12="Grava 2", ARIDOS!H39,
 IF($D$12="Grava 3", ARIDOS!K39,
 IF($D$12="Grava 4", ARIDOS!N39, ""))))</f>
        <v>0</v>
      </c>
      <c r="M16" s="4">
        <f>IF($D$12="Grava 1", ARIDOS!F39,
 IF($D$12="Grava 2", ARIDOS!I39,
 IF($D$12="Grava 3", ARIDOS!L39,
 IF($D$12="Grava 4", ARIDOS!O39, ""))))</f>
        <v>0</v>
      </c>
      <c r="N16" s="5">
        <f>IF($D$11="Gravilla 1", ARIDOS!D16,
 IF($D$11="Gravilla 2", ARIDOS!G16,
 IF($D$11="Gravilla 3", ARIDOS!J16,
 IF($D$11="Gravilla 4", ARIDOS!M16, ""))))</f>
        <v>0</v>
      </c>
      <c r="O16" s="4">
        <f>IF($D$11="Gravilla 1", ARIDOS!E16,
 IF($D$11="Gravilla 2", ARIDOS!H16,
 IF($D$11="Gravilla 3", ARIDOS!K16,
 IF($D$11="Gravilla 4", ARIDOS!N16, ""))))</f>
        <v>0</v>
      </c>
      <c r="P16" s="4">
        <f>IF($D$11="Gravilla 1", ARIDOS!F16,
 IF($D$11="Gravilla 2", ARIDOS!I16,
 IF($D$11="Gravilla 3", ARIDOS!L16,
 IF($D$11="Gravilla 4", ARIDOS!O16, ""))))</f>
        <v>0</v>
      </c>
      <c r="Q16" s="5">
        <f>IF($D$10="Arena 1", ARIDOS!D63,
 IF($D$10="Arena 2", ARIDOS!G63,
 IF($D$10="Arena 3", ARIDOS!J63,
 IF($D$10="Arena 4", ARIDOS!M63, ""))))</f>
        <v>170</v>
      </c>
      <c r="R16" s="4">
        <f>IF($D$10="Arena 1", ARIDOS!E63,
 IF($D$10="Arena 2", ARIDOS!H63,
 IF($D$10="Arena 3", ARIDOS!K63,
 IF($D$10="Arena 4", ARIDOS!N63, ""))))</f>
        <v>0.17</v>
      </c>
      <c r="S16" s="4">
        <f>IF($D$10="Arena 1", ARIDOS!F63,
 IF($D$10="Arena 2", ARIDOS!I63,
 IF($D$10="Arena 3", ARIDOS!L63,
 IF($D$10="Arena 4", ARIDOS!O63, ""))))</f>
        <v>0.37999999999999989</v>
      </c>
      <c r="T16" s="19">
        <f t="shared" si="0"/>
        <v>0.18999999999999995</v>
      </c>
      <c r="U16" s="14">
        <f t="shared" si="1"/>
        <v>0.18999999999999995</v>
      </c>
      <c r="V16" s="14">
        <f t="shared" si="2"/>
        <v>0.1973651296577783</v>
      </c>
      <c r="AG16" s="45">
        <v>0.2</v>
      </c>
      <c r="AH16" s="93">
        <v>0.05</v>
      </c>
      <c r="AI16" s="91">
        <v>0.6</v>
      </c>
    </row>
    <row r="17" spans="2:35">
      <c r="B17" s="46"/>
      <c r="C17" s="46"/>
      <c r="D17" s="46"/>
      <c r="F17" s="46"/>
      <c r="I17" s="1">
        <v>0.6</v>
      </c>
      <c r="J17" s="2" t="s">
        <v>40</v>
      </c>
      <c r="K17" s="40">
        <f>IF($D$12="Grava 1", ARIDOS!D40,
 IF($D$12="Grava 2", ARIDOS!G40,
 IF($D$12="Grava 3", ARIDOS!J40,
 IF($D$12="Grava 4", ARIDOS!M40, ""))))</f>
        <v>0</v>
      </c>
      <c r="L17" s="4">
        <f>IF($D$12="Grava 1", ARIDOS!E40,
 IF($D$12="Grava 2", ARIDOS!H40,
 IF($D$12="Grava 3", ARIDOS!K40,
 IF($D$12="Grava 4", ARIDOS!N40, ""))))</f>
        <v>0</v>
      </c>
      <c r="M17" s="4">
        <f>IF($D$12="Grava 1", ARIDOS!F40,
 IF($D$12="Grava 2", ARIDOS!I40,
 IF($D$12="Grava 3", ARIDOS!L40,
 IF($D$12="Grava 4", ARIDOS!O40, ""))))</f>
        <v>0</v>
      </c>
      <c r="N17" s="5">
        <f>IF($D$11="Gravilla 1", ARIDOS!D17,
 IF($D$11="Gravilla 2", ARIDOS!G17,
 IF($D$11="Gravilla 3", ARIDOS!J17,
 IF($D$11="Gravilla 4", ARIDOS!M17, ""))))</f>
        <v>0</v>
      </c>
      <c r="O17" s="4">
        <f>IF($D$11="Gravilla 1", ARIDOS!E17,
 IF($D$11="Gravilla 2", ARIDOS!H17,
 IF($D$11="Gravilla 3", ARIDOS!K17,
 IF($D$11="Gravilla 4", ARIDOS!N17, ""))))</f>
        <v>0</v>
      </c>
      <c r="P17" s="4">
        <f>IF($D$11="Gravilla 1", ARIDOS!F17,
 IF($D$11="Gravilla 2", ARIDOS!I17,
 IF($D$11="Gravilla 3", ARIDOS!L17,
 IF($D$11="Gravilla 4", ARIDOS!O17, ""))))</f>
        <v>0</v>
      </c>
      <c r="Q17" s="5">
        <f>IF($D$10="Arena 1", ARIDOS!D64,
 IF($D$10="Arena 2", ARIDOS!G64,
 IF($D$10="Arena 3", ARIDOS!J64,
 IF($D$10="Arena 4", ARIDOS!M64, ""))))</f>
        <v>110</v>
      </c>
      <c r="R17" s="4">
        <f>IF($D$10="Arena 1", ARIDOS!E64,
 IF($D$10="Arena 2", ARIDOS!H64,
 IF($D$10="Arena 3", ARIDOS!K64,
 IF($D$10="Arena 4", ARIDOS!N64, ""))))</f>
        <v>0.11</v>
      </c>
      <c r="S17" s="4">
        <f>IF($D$10="Arena 1", ARIDOS!F64,
 IF($D$10="Arena 2", ARIDOS!I64,
 IF($D$10="Arena 3", ARIDOS!L64,
 IF($D$10="Arena 4", ARIDOS!O64, ""))))</f>
        <v>0.26999999999999991</v>
      </c>
      <c r="T17" s="19">
        <f t="shared" si="0"/>
        <v>0.13499999999999995</v>
      </c>
      <c r="U17" s="14">
        <f t="shared" si="1"/>
        <v>0.13499999999999995</v>
      </c>
      <c r="V17" s="14">
        <f t="shared" si="2"/>
        <v>0.14023311844105299</v>
      </c>
      <c r="AG17" s="45">
        <v>0.2</v>
      </c>
      <c r="AH17" s="93">
        <v>0.05</v>
      </c>
      <c r="AI17" s="91">
        <v>0.3</v>
      </c>
    </row>
    <row r="18" spans="2:35">
      <c r="B18" s="9"/>
      <c r="C18" s="136" t="str">
        <f>D12</f>
        <v>Grava 1</v>
      </c>
      <c r="D18" s="137" t="str">
        <f>D11</f>
        <v>Gravilla 2</v>
      </c>
      <c r="E18" s="138" t="str">
        <f>D10</f>
        <v>Arena 3</v>
      </c>
      <c r="F18" s="39" t="s">
        <v>110</v>
      </c>
      <c r="G18" s="39" t="s">
        <v>226</v>
      </c>
      <c r="I18" s="1">
        <v>0.3</v>
      </c>
      <c r="J18" s="2" t="s">
        <v>41</v>
      </c>
      <c r="K18" s="40">
        <f>IF($D$12="Grava 1", ARIDOS!D41,
 IF($D$12="Grava 2", ARIDOS!G41,
 IF($D$12="Grava 3", ARIDOS!J41,
 IF($D$12="Grava 4", ARIDOS!M41, ""))))</f>
        <v>0</v>
      </c>
      <c r="L18" s="4">
        <f>IF($D$12="Grava 1", ARIDOS!E41,
 IF($D$12="Grava 2", ARIDOS!H41,
 IF($D$12="Grava 3", ARIDOS!K41,
 IF($D$12="Grava 4", ARIDOS!N41, ""))))</f>
        <v>0</v>
      </c>
      <c r="M18" s="4">
        <f>IF($D$12="Grava 1", ARIDOS!F41,
 IF($D$12="Grava 2", ARIDOS!I41,
 IF($D$12="Grava 3", ARIDOS!L41,
 IF($D$12="Grava 4", ARIDOS!O41, ""))))</f>
        <v>0</v>
      </c>
      <c r="N18" s="5">
        <f>IF($D$11="Gravilla 1", ARIDOS!D18,
 IF($D$11="Gravilla 2", ARIDOS!G18,
 IF($D$11="Gravilla 3", ARIDOS!J18,
 IF($D$11="Gravilla 4", ARIDOS!M18, ""))))</f>
        <v>0</v>
      </c>
      <c r="O18" s="4">
        <f>IF($D$11="Gravilla 1", ARIDOS!E18,
 IF($D$11="Gravilla 2", ARIDOS!H18,
 IF($D$11="Gravilla 3", ARIDOS!K18,
 IF($D$11="Gravilla 4", ARIDOS!N18, ""))))</f>
        <v>0</v>
      </c>
      <c r="P18" s="4">
        <f>IF($D$11="Gravilla 1", ARIDOS!F18,
 IF($D$11="Gravilla 2", ARIDOS!I18,
 IF($D$11="Gravilla 3", ARIDOS!L18,
 IF($D$11="Gravilla 4", ARIDOS!O18, ""))))</f>
        <v>0</v>
      </c>
      <c r="Q18" s="5">
        <f>IF($D$10="Arena 1", ARIDOS!D65,
 IF($D$10="Arena 2", ARIDOS!G65,
 IF($D$10="Arena 3", ARIDOS!J65,
 IF($D$10="Arena 4", ARIDOS!M65, ""))))</f>
        <v>170</v>
      </c>
      <c r="R18" s="4">
        <f>IF($D$10="Arena 1", ARIDOS!E65,
 IF($D$10="Arena 2", ARIDOS!H65,
 IF($D$10="Arena 3", ARIDOS!K65,
 IF($D$10="Arena 4", ARIDOS!N65, ""))))</f>
        <v>0.17</v>
      </c>
      <c r="S18" s="4">
        <f>IF($D$10="Arena 1", ARIDOS!F65,
 IF($D$10="Arena 2", ARIDOS!I65,
 IF($D$10="Arena 3", ARIDOS!L65,
 IF($D$10="Arena 4", ARIDOS!O65, ""))))</f>
        <v>9.9999999999999895E-2</v>
      </c>
      <c r="T18" s="19">
        <f t="shared" si="0"/>
        <v>4.9999999999999947E-2</v>
      </c>
      <c r="U18" s="14">
        <f t="shared" si="1"/>
        <v>4.9999999999999947E-2</v>
      </c>
      <c r="V18" s="14">
        <f t="shared" si="2"/>
        <v>5.1938192015204776E-2</v>
      </c>
      <c r="AG18" s="75">
        <v>0.1</v>
      </c>
      <c r="AH18" s="93">
        <v>0</v>
      </c>
      <c r="AI18" s="91">
        <v>0.15</v>
      </c>
    </row>
    <row r="19" spans="2:35">
      <c r="B19" s="132" t="s">
        <v>37</v>
      </c>
      <c r="C19" s="139">
        <f>IF($D$12="Grava 1", ARIDOS!S32,
 IF($D$12="Grava 2", ARIDOS!T32,
 IF($D$12="Grava 3", ARIDOS!U32,
 IF($D$12="Grava 4", ARIDOS!V32, ""))))</f>
        <v>1.2999999999999999E-2</v>
      </c>
      <c r="D19" s="139">
        <f>IF($D$11="Gravilla 1", ARIDOS!S10,
 IF($D$11="Gravilla 2", ARIDOS!T10,
 IF($D$11="Gravilla 3", ARIDOS!U10,
 IF($D$11="Gravilla 4", ARIDOS!V10, ""))))</f>
        <v>1.2E-2</v>
      </c>
      <c r="E19" s="139">
        <f>IF($D$10="Arena 1", ARIDOS!S57,
 IF($D$10="Arena 2", ARIDOS!T57,
 IF($D$10="Arena 3", ARIDOS!U57,
 IF($D$10="Arena 4", ARIDOS!V57, ""))))</f>
        <v>1.2E-2</v>
      </c>
      <c r="F19" s="12" t="s">
        <v>64</v>
      </c>
      <c r="G19" s="12" t="str">
        <f>F19</f>
        <v>-</v>
      </c>
      <c r="I19" s="7">
        <v>0.15</v>
      </c>
      <c r="J19" s="8" t="s">
        <v>43</v>
      </c>
      <c r="K19" s="40">
        <f>IF($D$12="Grava 1", ARIDOS!D42,
 IF($D$12="Grava 2", ARIDOS!G42,
 IF($D$12="Grava 3", ARIDOS!J42,
 IF($D$12="Grava 4", ARIDOS!M42, ""))))</f>
        <v>0</v>
      </c>
      <c r="L19" s="4">
        <f>IF($D$12="Grava 1", ARIDOS!E42,
 IF($D$12="Grava 2", ARIDOS!H42,
 IF($D$12="Grava 3", ARIDOS!K42,
 IF($D$12="Grava 4", ARIDOS!N42, ""))))</f>
        <v>0</v>
      </c>
      <c r="M19" s="4">
        <f>IF($D$12="Grava 1", ARIDOS!F42,
 IF($D$12="Grava 2", ARIDOS!I42,
 IF($D$12="Grava 3", ARIDOS!L42,
 IF($D$12="Grava 4", ARIDOS!O42, ""))))</f>
        <v>0</v>
      </c>
      <c r="N19" s="128">
        <f>IF($D$11="Gravilla 1", ARIDOS!D19,
 IF($D$11="Gravilla 2", ARIDOS!G19,
 IF($D$11="Gravilla 3", ARIDOS!J19,
 IF($D$11="Gravilla 4", ARIDOS!M19, ""))))</f>
        <v>0</v>
      </c>
      <c r="O19" s="4">
        <f>IF($D$11="Gravilla 1", ARIDOS!E19,
 IF($D$11="Gravilla 2", ARIDOS!H19,
 IF($D$11="Gravilla 3", ARIDOS!K19,
 IF($D$11="Gravilla 4", ARIDOS!N19, ""))))</f>
        <v>0</v>
      </c>
      <c r="P19" s="4">
        <f>IF($D$11="Gravilla 1", ARIDOS!F19,
 IF($D$11="Gravilla 2", ARIDOS!I19,
 IF($D$11="Gravilla 3", ARIDOS!L19,
 IF($D$11="Gravilla 4", ARIDOS!O19, ""))))</f>
        <v>0</v>
      </c>
      <c r="Q19" s="128">
        <f>IF($D$10="Arena 1", ARIDOS!D66,
 IF($D$10="Arena 2", ARIDOS!G66,
 IF($D$10="Arena 3", ARIDOS!J66,
 IF($D$10="Arena 4", ARIDOS!M66, ""))))</f>
        <v>60</v>
      </c>
      <c r="R19" s="4">
        <f>IF($D$10="Arena 1", ARIDOS!E66,
 IF($D$10="Arena 2", ARIDOS!H66,
 IF($D$10="Arena 3", ARIDOS!K66,
 IF($D$10="Arena 4", ARIDOS!N66, ""))))</f>
        <v>0.06</v>
      </c>
      <c r="S19" s="4">
        <f>IF($D$10="Arena 1", ARIDOS!F66,
 IF($D$10="Arena 2", ARIDOS!I66,
 IF($D$10="Arena 3", ARIDOS!L66,
 IF($D$10="Arena 4", ARIDOS!O66, ""))))</f>
        <v>3.9999999999999897E-2</v>
      </c>
      <c r="T19" s="19">
        <f t="shared" si="0"/>
        <v>1.9999999999999948E-2</v>
      </c>
      <c r="U19" s="14">
        <f t="shared" si="1"/>
        <v>1.9999999999999948E-2</v>
      </c>
      <c r="V19" s="14">
        <f t="shared" si="2"/>
        <v>2.0775276806081881E-2</v>
      </c>
    </row>
    <row r="20" spans="2:35">
      <c r="B20" s="132" t="s">
        <v>39</v>
      </c>
      <c r="C20" s="139">
        <f>IF($D$12="Grava 1", ARIDOS!S33,
 IF($D$12="Grava 2", ARIDOS!T33,
 IF($D$12="Grava 3", ARIDOS!U33,
 IF($D$12="Grava 4", ARIDOS!V33, ""))))</f>
        <v>0.04</v>
      </c>
      <c r="D20" s="139">
        <f>IF($D$11="Gravilla 1", ARIDOS!S11,
 IF($D$11="Gravilla 2", ARIDOS!T11,
 IF($D$11="Gravilla 3", ARIDOS!U11,
 IF($D$11="Gravilla 4", ARIDOS!V11, ""))))</f>
        <v>0.08</v>
      </c>
      <c r="E20" s="139">
        <f>IF($D$10="Arena 1", ARIDOS!S58,
 IF($D$10="Arena 2", ARIDOS!T58,
 IF($D$10="Arena 3", ARIDOS!U58,
 IF($D$10="Arena 4", ARIDOS!V58, ""))))</f>
        <v>0.06</v>
      </c>
      <c r="F20" s="12" t="s">
        <v>64</v>
      </c>
      <c r="G20" s="12" t="str">
        <f>F20</f>
        <v>-</v>
      </c>
      <c r="I20" s="170" t="s">
        <v>44</v>
      </c>
      <c r="J20" s="152"/>
      <c r="K20" s="40">
        <f>IF($D$12="Grava 1", ARIDOS!D43,
 IF($D$12="Grava 2", ARIDOS!G43,
 IF($D$12="Grava 3", ARIDOS!J43,
 IF($D$12="Grava 4", ARIDOS!M43, ""))))</f>
        <v>0</v>
      </c>
      <c r="L20" s="9"/>
      <c r="M20" s="9"/>
      <c r="N20" s="40">
        <f>IF($D$11="Gravilla 1", ARIDOS!D20,
 IF($D$11="Gravilla 2", ARIDOS!G20,
 IF($D$11="Gravilla 3", ARIDOS!J20,
 IF($D$11="Gravilla 4", ARIDOS!M20, ""))))</f>
        <v>0</v>
      </c>
      <c r="O20" s="9"/>
      <c r="P20" s="9"/>
      <c r="Q20" s="40">
        <f>IF($D$10="Arena 1", ARIDOS!D67,
 IF($D$10="Arena 2", ARIDOS!G67,
 IF($D$10="Arena 3", ARIDOS!J67,
 IF($D$10="Arena 4", ARIDOS!M67, ""))))</f>
        <v>40</v>
      </c>
      <c r="R20" s="9"/>
      <c r="S20" s="9"/>
      <c r="T20" s="46"/>
      <c r="U20" s="46"/>
      <c r="V20" s="46"/>
    </row>
    <row r="21" spans="2:35">
      <c r="B21" s="132" t="s">
        <v>137</v>
      </c>
      <c r="C21" s="140">
        <f>IF($D$12="Grava 1", ARIDOS!S34,
 IF($D$12="Grava 2", ARIDOS!T34,
 IF($D$12="Grava 3", ARIDOS!U34,
 IF($D$12="Grava 4", ARIDOS!V34, ""))))</f>
        <v>2.6</v>
      </c>
      <c r="D21" s="40">
        <f>IF($D$11="Gravilla 1", ARIDOS!S12,
 IF($D$11="Gravilla 2", ARIDOS!T12,
 IF($D$11="Gravilla 3", ARIDOS!U12,
 IF($D$11="Gravilla 4", ARIDOS!V12, ""))))</f>
        <v>2.8</v>
      </c>
      <c r="E21" s="40">
        <f>IF($D$10="Arena 1", ARIDOS!S59,
 IF($D$10="Arena 2", ARIDOS!T59,
 IF($D$10="Arena 3", ARIDOS!U59,
 IF($D$10="Arena 4", ARIDOS!V59, ""))))</f>
        <v>2.7</v>
      </c>
      <c r="F21" s="40">
        <f>IF(D8="Melón Extra",2.81,IF(D8="Melón Especial",3,""))</f>
        <v>2.81</v>
      </c>
      <c r="G21" s="40">
        <v>2.23</v>
      </c>
      <c r="I21" s="170" t="s">
        <v>45</v>
      </c>
      <c r="J21" s="153"/>
      <c r="K21" s="5">
        <f>IF($D$12="Grava 1", ARIDOS!D44,
 IF($D$12="Grava 2", ARIDOS!G44,
 IF($D$12="Grava 3", ARIDOS!J44,
 IF($D$12="Grava 4", ARIDOS!M44, ""))))</f>
        <v>1000</v>
      </c>
      <c r="L21" s="9"/>
      <c r="M21" s="9"/>
      <c r="N21" s="40">
        <f>IF($D$11="Gravilla 1", ARIDOS!D21,
 IF($D$11="Gravilla 2", ARIDOS!G21,
 IF($D$11="Gravilla 3", ARIDOS!J21,
 IF($D$11="Gravilla 4", ARIDOS!M21, ""))))</f>
        <v>1000</v>
      </c>
      <c r="O21" s="9"/>
      <c r="P21" s="9"/>
      <c r="Q21" s="40">
        <f>IF($D$10="Arena 1", ARIDOS!D68,
 IF($D$10="Arena 2", ARIDOS!G68,
 IF($D$10="Arena 3", ARIDOS!J68,
 IF($D$10="Arena 4", ARIDOS!M68, ""))))</f>
        <v>1000</v>
      </c>
      <c r="R21" s="9"/>
      <c r="S21" s="9"/>
      <c r="T21" s="46"/>
      <c r="U21" s="46"/>
    </row>
    <row r="22" spans="2:35">
      <c r="B22" s="133" t="s">
        <v>42</v>
      </c>
      <c r="C22" s="38">
        <f>C21*1000</f>
        <v>2600</v>
      </c>
      <c r="D22" s="38">
        <f t="shared" ref="D22:E22" si="3">D21*1000</f>
        <v>2800</v>
      </c>
      <c r="E22" s="38">
        <f t="shared" si="3"/>
        <v>2700</v>
      </c>
      <c r="F22" s="90">
        <f>F21*1000</f>
        <v>2810</v>
      </c>
      <c r="G22" s="12">
        <f>G21*1000</f>
        <v>2230</v>
      </c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</row>
    <row r="23" spans="2:35">
      <c r="B23" s="134" t="s">
        <v>135</v>
      </c>
      <c r="C23" s="38" t="str">
        <f>F19</f>
        <v>-</v>
      </c>
      <c r="D23" s="38" t="str">
        <f>F19</f>
        <v>-</v>
      </c>
      <c r="E23" s="38" t="str">
        <f>F19</f>
        <v>-</v>
      </c>
      <c r="F23" s="12">
        <v>15</v>
      </c>
      <c r="G23" s="12"/>
    </row>
    <row r="24" spans="2:35">
      <c r="B24" s="135" t="s">
        <v>136</v>
      </c>
      <c r="C24" s="38" t="str">
        <f>F20</f>
        <v>-</v>
      </c>
      <c r="D24" s="38" t="str">
        <f>F20</f>
        <v>-</v>
      </c>
      <c r="E24" s="38" t="str">
        <f>F20</f>
        <v>-</v>
      </c>
      <c r="F24" s="12">
        <v>24.32</v>
      </c>
      <c r="G24" s="12"/>
      <c r="I24" s="174" t="s">
        <v>46</v>
      </c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6"/>
      <c r="Z24" s="54"/>
      <c r="AA24" s="182" t="s">
        <v>73</v>
      </c>
      <c r="AB24" s="182"/>
      <c r="AC24" s="182"/>
      <c r="AD24" s="182"/>
    </row>
    <row r="25" spans="2:35">
      <c r="B25" s="8"/>
      <c r="C25" s="89"/>
      <c r="I25" s="56" t="s">
        <v>47</v>
      </c>
      <c r="J25" s="57" t="s">
        <v>48</v>
      </c>
      <c r="K25" s="57" t="s">
        <v>49</v>
      </c>
      <c r="L25" s="57" t="s">
        <v>50</v>
      </c>
      <c r="M25" s="57" t="s">
        <v>51</v>
      </c>
      <c r="N25" s="58" t="s">
        <v>52</v>
      </c>
      <c r="O25" s="58" t="s">
        <v>53</v>
      </c>
      <c r="P25" s="58" t="s">
        <v>54</v>
      </c>
      <c r="Q25" s="58" t="s">
        <v>55</v>
      </c>
      <c r="R25" s="59" t="s">
        <v>56</v>
      </c>
      <c r="S25" s="59" t="s">
        <v>57</v>
      </c>
      <c r="T25" s="59" t="s">
        <v>58</v>
      </c>
      <c r="U25" s="60" t="s">
        <v>59</v>
      </c>
      <c r="V25" s="61" t="s">
        <v>69</v>
      </c>
      <c r="W25" s="61" t="s">
        <v>70</v>
      </c>
      <c r="X25" s="61" t="s">
        <v>71</v>
      </c>
      <c r="Y25" s="61" t="s">
        <v>72</v>
      </c>
      <c r="AA25" s="13" t="s">
        <v>113</v>
      </c>
      <c r="AB25" s="14" t="s">
        <v>114</v>
      </c>
      <c r="AC25" s="14" t="s">
        <v>115</v>
      </c>
      <c r="AD25" s="34" t="s">
        <v>74</v>
      </c>
    </row>
    <row r="26" spans="2:35">
      <c r="C26" s="173" t="s">
        <v>65</v>
      </c>
      <c r="D26" s="173"/>
      <c r="F26" s="46"/>
      <c r="I26" s="29">
        <v>80</v>
      </c>
      <c r="J26" s="21">
        <v>1</v>
      </c>
      <c r="K26" s="21">
        <v>1</v>
      </c>
      <c r="L26" s="21">
        <v>1</v>
      </c>
      <c r="M26" s="21">
        <v>1</v>
      </c>
      <c r="N26" s="21">
        <v>1</v>
      </c>
      <c r="O26" s="21">
        <v>1</v>
      </c>
      <c r="P26" s="21">
        <v>1</v>
      </c>
      <c r="Q26" s="21">
        <v>1</v>
      </c>
      <c r="R26" s="21">
        <v>1</v>
      </c>
      <c r="S26" s="21">
        <v>1</v>
      </c>
      <c r="T26" s="21">
        <v>1</v>
      </c>
      <c r="U26" s="21">
        <v>1</v>
      </c>
      <c r="V26" s="23">
        <v>1</v>
      </c>
      <c r="W26" s="23">
        <v>1</v>
      </c>
      <c r="X26" s="23">
        <v>1</v>
      </c>
      <c r="Y26" s="24">
        <v>1</v>
      </c>
      <c r="AA26" s="14">
        <f t="shared" ref="AA26:AA35" si="4">AVERAGE(J26:M26)</f>
        <v>1</v>
      </c>
      <c r="AB26" s="14">
        <f t="shared" ref="AB26:AB35" si="5">AVERAGE(N26:Q26)</f>
        <v>1</v>
      </c>
      <c r="AC26" s="14">
        <f t="shared" ref="AC26:AC35" si="6">AVERAGE(R26:U26)</f>
        <v>1</v>
      </c>
      <c r="AD26" s="14">
        <f t="shared" ref="AD26:AD35" si="7">AVERAGE(V26:Y26)</f>
        <v>1</v>
      </c>
    </row>
    <row r="27" spans="2:35">
      <c r="B27" s="51" t="str">
        <f>D12</f>
        <v>Grava 1</v>
      </c>
      <c r="C27" s="179">
        <v>0.2</v>
      </c>
      <c r="D27" s="179"/>
      <c r="E27" s="46"/>
      <c r="F27" s="46"/>
      <c r="G27" s="46"/>
      <c r="H27" s="46"/>
      <c r="I27" s="29">
        <v>40</v>
      </c>
      <c r="J27" s="21">
        <v>0.7</v>
      </c>
      <c r="K27" s="21">
        <v>0.8</v>
      </c>
      <c r="L27" s="21">
        <v>0.9</v>
      </c>
      <c r="M27" s="21">
        <v>0.3</v>
      </c>
      <c r="N27" s="21">
        <v>1</v>
      </c>
      <c r="O27" s="21">
        <v>1</v>
      </c>
      <c r="P27" s="21">
        <v>1</v>
      </c>
      <c r="Q27" s="21">
        <v>1</v>
      </c>
      <c r="R27" s="22">
        <v>1</v>
      </c>
      <c r="S27" s="22">
        <v>1</v>
      </c>
      <c r="T27" s="22">
        <v>1</v>
      </c>
      <c r="U27" s="22">
        <v>1</v>
      </c>
      <c r="V27" s="23">
        <v>1</v>
      </c>
      <c r="W27" s="23">
        <v>1</v>
      </c>
      <c r="X27" s="23">
        <v>1</v>
      </c>
      <c r="Y27" s="24">
        <v>1</v>
      </c>
      <c r="AA27" s="14">
        <f t="shared" si="4"/>
        <v>0.67499999999999993</v>
      </c>
      <c r="AB27" s="14">
        <f t="shared" si="5"/>
        <v>1</v>
      </c>
      <c r="AC27" s="14">
        <f t="shared" si="6"/>
        <v>1</v>
      </c>
      <c r="AD27" s="14">
        <f t="shared" si="7"/>
        <v>1</v>
      </c>
    </row>
    <row r="28" spans="2:35">
      <c r="B28" s="52" t="str">
        <f>D11</f>
        <v>Gravilla 2</v>
      </c>
      <c r="C28" s="179">
        <v>0.3</v>
      </c>
      <c r="D28" s="179"/>
      <c r="E28" s="46"/>
      <c r="F28" s="46"/>
      <c r="G28" s="46"/>
      <c r="H28" s="46"/>
      <c r="I28" s="29">
        <v>20</v>
      </c>
      <c r="J28" s="21">
        <v>0.45</v>
      </c>
      <c r="K28" s="21">
        <v>0.65</v>
      </c>
      <c r="L28" s="21">
        <v>0.8</v>
      </c>
      <c r="M28" s="21">
        <v>0.3</v>
      </c>
      <c r="N28" s="21">
        <v>0.6</v>
      </c>
      <c r="O28" s="21">
        <v>0.8</v>
      </c>
      <c r="P28" s="21">
        <v>0.9</v>
      </c>
      <c r="Q28" s="21">
        <v>0.3</v>
      </c>
      <c r="R28" s="22">
        <v>1</v>
      </c>
      <c r="S28" s="22">
        <v>1</v>
      </c>
      <c r="T28" s="22">
        <v>1</v>
      </c>
      <c r="U28" s="22">
        <v>1</v>
      </c>
      <c r="V28" s="23">
        <v>1</v>
      </c>
      <c r="W28" s="23">
        <v>1</v>
      </c>
      <c r="X28" s="23">
        <v>1</v>
      </c>
      <c r="Y28" s="24">
        <v>1</v>
      </c>
      <c r="AA28" s="14">
        <f t="shared" si="4"/>
        <v>0.55000000000000004</v>
      </c>
      <c r="AB28" s="14">
        <f t="shared" si="5"/>
        <v>0.64999999999999991</v>
      </c>
      <c r="AC28" s="14">
        <f t="shared" si="6"/>
        <v>1</v>
      </c>
      <c r="AD28" s="14">
        <f t="shared" si="7"/>
        <v>1</v>
      </c>
    </row>
    <row r="29" spans="2:35">
      <c r="B29" s="53" t="str">
        <f>D10</f>
        <v>Arena 3</v>
      </c>
      <c r="C29" s="179">
        <v>0.5</v>
      </c>
      <c r="D29" s="179"/>
      <c r="I29" s="29">
        <v>10</v>
      </c>
      <c r="J29" s="21">
        <v>0.3</v>
      </c>
      <c r="K29" s="21">
        <v>0.5</v>
      </c>
      <c r="L29" s="21">
        <v>0.7</v>
      </c>
      <c r="M29" s="21">
        <v>0.3</v>
      </c>
      <c r="N29" s="21">
        <v>0.4</v>
      </c>
      <c r="O29" s="21">
        <v>0.61</v>
      </c>
      <c r="P29" s="21">
        <v>0.8</v>
      </c>
      <c r="Q29" s="21">
        <v>0.3</v>
      </c>
      <c r="R29" s="22">
        <v>0.62</v>
      </c>
      <c r="S29" s="22">
        <v>0.77</v>
      </c>
      <c r="T29" s="22">
        <v>0.88</v>
      </c>
      <c r="U29" s="22">
        <v>0.3</v>
      </c>
      <c r="V29" s="23">
        <v>1</v>
      </c>
      <c r="W29" s="23">
        <v>1</v>
      </c>
      <c r="X29" s="23">
        <v>1</v>
      </c>
      <c r="Y29" s="24">
        <v>1</v>
      </c>
      <c r="AA29" s="14">
        <f t="shared" si="4"/>
        <v>0.45</v>
      </c>
      <c r="AB29" s="14">
        <f t="shared" si="5"/>
        <v>0.52749999999999997</v>
      </c>
      <c r="AC29" s="14">
        <f t="shared" si="6"/>
        <v>0.64249999999999996</v>
      </c>
      <c r="AD29" s="14">
        <f t="shared" si="7"/>
        <v>1</v>
      </c>
    </row>
    <row r="30" spans="2:35">
      <c r="D30" s="55"/>
      <c r="E30" s="55"/>
      <c r="F30" s="55"/>
      <c r="I30" s="29">
        <v>5</v>
      </c>
      <c r="J30" s="21">
        <v>0.2</v>
      </c>
      <c r="K30" s="21">
        <v>0.4</v>
      </c>
      <c r="L30" s="21">
        <v>0.6</v>
      </c>
      <c r="M30" s="21">
        <v>0.3</v>
      </c>
      <c r="N30" s="21">
        <v>0.24</v>
      </c>
      <c r="O30" s="21">
        <v>0.48</v>
      </c>
      <c r="P30" s="21">
        <v>0.66</v>
      </c>
      <c r="Q30" s="21">
        <v>0.3</v>
      </c>
      <c r="R30" s="22">
        <v>0.37</v>
      </c>
      <c r="S30" s="22">
        <v>0.57999999999999996</v>
      </c>
      <c r="T30" s="22">
        <v>0.75</v>
      </c>
      <c r="U30" s="22">
        <v>0.3</v>
      </c>
      <c r="V30" s="23">
        <v>0.61</v>
      </c>
      <c r="W30" s="23">
        <v>0.74</v>
      </c>
      <c r="X30" s="23">
        <v>0.87</v>
      </c>
      <c r="Y30" s="24">
        <v>0.3</v>
      </c>
      <c r="AA30" s="14">
        <f t="shared" si="4"/>
        <v>0.37500000000000006</v>
      </c>
      <c r="AB30" s="14">
        <f t="shared" si="5"/>
        <v>0.42</v>
      </c>
      <c r="AC30" s="14">
        <f t="shared" si="6"/>
        <v>0.5</v>
      </c>
      <c r="AD30" s="14">
        <f t="shared" si="7"/>
        <v>0.63</v>
      </c>
    </row>
    <row r="31" spans="2:35">
      <c r="C31" s="181" t="s">
        <v>220</v>
      </c>
      <c r="D31" s="181"/>
      <c r="E31" s="94" t="s">
        <v>116</v>
      </c>
      <c r="F31" s="55"/>
      <c r="I31" s="29">
        <v>2.5</v>
      </c>
      <c r="J31" s="21">
        <v>0.12</v>
      </c>
      <c r="K31" s="21">
        <v>0.3</v>
      </c>
      <c r="L31" s="21">
        <v>0.5</v>
      </c>
      <c r="M31" s="21">
        <v>0</v>
      </c>
      <c r="N31" s="21">
        <v>0.15</v>
      </c>
      <c r="O31" s="21">
        <v>0.37</v>
      </c>
      <c r="P31" s="21">
        <v>0.55000000000000004</v>
      </c>
      <c r="Q31" s="21">
        <v>0</v>
      </c>
      <c r="R31" s="22">
        <v>0.22</v>
      </c>
      <c r="S31" s="22">
        <v>0.43</v>
      </c>
      <c r="T31" s="22">
        <v>0.63</v>
      </c>
      <c r="U31" s="22">
        <v>0.3</v>
      </c>
      <c r="V31" s="23">
        <v>0.37</v>
      </c>
      <c r="W31" s="23">
        <v>0.56000000000000005</v>
      </c>
      <c r="X31" s="23">
        <v>0.73</v>
      </c>
      <c r="Y31" s="24">
        <v>0.3</v>
      </c>
      <c r="AA31" s="14">
        <f t="shared" si="4"/>
        <v>0.22999999999999998</v>
      </c>
      <c r="AB31" s="14">
        <f t="shared" si="5"/>
        <v>0.26750000000000002</v>
      </c>
      <c r="AC31" s="14">
        <f t="shared" si="6"/>
        <v>0.39500000000000002</v>
      </c>
      <c r="AD31" s="14">
        <f t="shared" si="7"/>
        <v>0.49000000000000005</v>
      </c>
    </row>
    <row r="32" spans="2:35">
      <c r="B32" s="62" t="str">
        <f>D12</f>
        <v>Grava 1</v>
      </c>
      <c r="C32" s="171">
        <v>0.2</v>
      </c>
      <c r="D32" s="171"/>
      <c r="E32" s="97">
        <v>0.19197916588779435</v>
      </c>
      <c r="F32" s="55"/>
      <c r="I32" s="30">
        <v>1.25</v>
      </c>
      <c r="J32" s="21">
        <v>7.0000000000000007E-2</v>
      </c>
      <c r="K32" s="21">
        <v>0.25</v>
      </c>
      <c r="L32" s="21">
        <v>0.4</v>
      </c>
      <c r="M32" s="21">
        <v>0</v>
      </c>
      <c r="N32" s="21">
        <v>0.1</v>
      </c>
      <c r="O32" s="21">
        <v>0.28000000000000003</v>
      </c>
      <c r="P32" s="21">
        <v>0.42</v>
      </c>
      <c r="Q32" s="21">
        <v>0</v>
      </c>
      <c r="R32" s="22">
        <v>0.13</v>
      </c>
      <c r="S32" s="22">
        <v>0.33</v>
      </c>
      <c r="T32" s="22">
        <v>0.52</v>
      </c>
      <c r="U32" s="21">
        <v>0</v>
      </c>
      <c r="V32" s="23">
        <v>0.22</v>
      </c>
      <c r="W32" s="23">
        <v>0.41</v>
      </c>
      <c r="X32" s="23">
        <v>0.59</v>
      </c>
      <c r="Y32" s="24">
        <v>0.3</v>
      </c>
      <c r="AA32" s="14">
        <f t="shared" si="4"/>
        <v>0.18</v>
      </c>
      <c r="AB32" s="14">
        <f t="shared" si="5"/>
        <v>0.2</v>
      </c>
      <c r="AC32" s="14">
        <f t="shared" si="6"/>
        <v>0.245</v>
      </c>
      <c r="AD32" s="14">
        <f t="shared" si="7"/>
        <v>0.38</v>
      </c>
    </row>
    <row r="33" spans="2:30">
      <c r="B33" s="63" t="str">
        <f>D11</f>
        <v>Gravilla 2</v>
      </c>
      <c r="C33" s="172">
        <v>0.3</v>
      </c>
      <c r="D33" s="172"/>
      <c r="E33" s="98">
        <v>0.28863891453112617</v>
      </c>
      <c r="I33" s="30">
        <v>0.63</v>
      </c>
      <c r="J33" s="21">
        <v>0.04</v>
      </c>
      <c r="K33" s="21">
        <v>0.17</v>
      </c>
      <c r="L33" s="21">
        <v>0.28000000000000003</v>
      </c>
      <c r="M33" s="21">
        <v>0</v>
      </c>
      <c r="N33" s="21">
        <v>0.06</v>
      </c>
      <c r="O33" s="21">
        <v>0.19</v>
      </c>
      <c r="P33" s="21">
        <v>0.3</v>
      </c>
      <c r="Q33" s="21">
        <v>0</v>
      </c>
      <c r="R33" s="22">
        <v>0.08</v>
      </c>
      <c r="S33" s="22">
        <v>0.23</v>
      </c>
      <c r="T33" s="22">
        <v>0.38</v>
      </c>
      <c r="U33" s="21">
        <v>0</v>
      </c>
      <c r="V33" s="23">
        <v>0.13</v>
      </c>
      <c r="W33" s="23">
        <v>0.27</v>
      </c>
      <c r="X33" s="23">
        <v>0.43</v>
      </c>
      <c r="Y33" s="24">
        <v>0</v>
      </c>
      <c r="AA33" s="14">
        <f t="shared" si="4"/>
        <v>0.12250000000000001</v>
      </c>
      <c r="AB33" s="14">
        <f t="shared" si="5"/>
        <v>0.13750000000000001</v>
      </c>
      <c r="AC33" s="14">
        <f t="shared" si="6"/>
        <v>0.17249999999999999</v>
      </c>
      <c r="AD33" s="14">
        <f t="shared" si="7"/>
        <v>0.20750000000000002</v>
      </c>
    </row>
    <row r="34" spans="2:30">
      <c r="B34" s="64" t="str">
        <f>D10</f>
        <v>Arena 3</v>
      </c>
      <c r="C34" s="172">
        <v>0.5</v>
      </c>
      <c r="D34" s="172"/>
      <c r="E34" s="98">
        <v>0.51938192015204832</v>
      </c>
      <c r="I34" s="30">
        <v>0.315</v>
      </c>
      <c r="J34" s="21">
        <v>0.03</v>
      </c>
      <c r="K34" s="21">
        <v>0.09</v>
      </c>
      <c r="L34" s="21">
        <v>0.17</v>
      </c>
      <c r="M34" s="21">
        <v>0</v>
      </c>
      <c r="N34" s="21">
        <v>0.03</v>
      </c>
      <c r="O34" s="21">
        <v>0.11</v>
      </c>
      <c r="P34" s="21">
        <v>0.19</v>
      </c>
      <c r="Q34" s="21">
        <v>0</v>
      </c>
      <c r="R34" s="22">
        <v>0.04</v>
      </c>
      <c r="S34" s="22">
        <v>0.12</v>
      </c>
      <c r="T34" s="22">
        <v>0.23</v>
      </c>
      <c r="U34" s="21">
        <v>0</v>
      </c>
      <c r="V34" s="23">
        <v>0.05</v>
      </c>
      <c r="W34" s="23">
        <v>0.13</v>
      </c>
      <c r="X34" s="23">
        <v>0.26</v>
      </c>
      <c r="Y34" s="24">
        <v>0</v>
      </c>
      <c r="AA34" s="14">
        <f t="shared" si="4"/>
        <v>7.2500000000000009E-2</v>
      </c>
      <c r="AB34" s="14">
        <f t="shared" si="5"/>
        <v>8.2500000000000004E-2</v>
      </c>
      <c r="AC34" s="14">
        <f t="shared" si="6"/>
        <v>9.7500000000000003E-2</v>
      </c>
      <c r="AD34" s="14">
        <f t="shared" si="7"/>
        <v>0.11</v>
      </c>
    </row>
    <row r="35" spans="2:30">
      <c r="B35" s="12" t="s">
        <v>68</v>
      </c>
      <c r="C35" s="178">
        <v>1</v>
      </c>
      <c r="D35" s="178"/>
      <c r="E35" s="77">
        <v>1</v>
      </c>
      <c r="I35" s="31">
        <v>0.16</v>
      </c>
      <c r="J35" s="32">
        <v>0.02</v>
      </c>
      <c r="K35" s="32">
        <v>0.04</v>
      </c>
      <c r="L35" s="32">
        <v>7.0000000000000007E-2</v>
      </c>
      <c r="M35" s="32">
        <v>0</v>
      </c>
      <c r="N35" s="32">
        <v>0.02</v>
      </c>
      <c r="O35" s="32">
        <v>0.05</v>
      </c>
      <c r="P35" s="32">
        <v>0.08</v>
      </c>
      <c r="Q35" s="32">
        <v>0</v>
      </c>
      <c r="R35" s="33">
        <v>0.03</v>
      </c>
      <c r="S35" s="33">
        <v>0.06</v>
      </c>
      <c r="T35" s="33">
        <v>0.09</v>
      </c>
      <c r="U35" s="32">
        <v>0</v>
      </c>
      <c r="V35" s="25">
        <v>0.03</v>
      </c>
      <c r="W35" s="25">
        <v>7.0000000000000007E-2</v>
      </c>
      <c r="X35" s="25">
        <v>0.1</v>
      </c>
      <c r="Y35" s="26">
        <v>0</v>
      </c>
      <c r="AA35" s="14">
        <f t="shared" si="4"/>
        <v>3.2500000000000001E-2</v>
      </c>
      <c r="AB35" s="14">
        <f t="shared" si="5"/>
        <v>3.7500000000000006E-2</v>
      </c>
      <c r="AC35" s="14">
        <f t="shared" si="6"/>
        <v>4.4999999999999998E-2</v>
      </c>
      <c r="AD35" s="14">
        <f t="shared" si="7"/>
        <v>0.05</v>
      </c>
    </row>
    <row r="36" spans="2:30">
      <c r="B36" s="12" t="s">
        <v>75</v>
      </c>
      <c r="C36" s="179">
        <f>SUM(C32:D34)</f>
        <v>1</v>
      </c>
      <c r="D36" s="179"/>
      <c r="E36" s="77">
        <f>SUM(E32:E34)</f>
        <v>1.0000000005709688</v>
      </c>
      <c r="I36" s="65"/>
      <c r="J36" s="21"/>
      <c r="K36" s="21"/>
      <c r="L36" s="21"/>
      <c r="M36" s="21"/>
      <c r="N36" s="21"/>
      <c r="O36" s="21"/>
      <c r="P36" s="21"/>
      <c r="Q36" s="21"/>
      <c r="R36" s="22"/>
      <c r="S36" s="22"/>
      <c r="T36" s="22"/>
      <c r="U36" s="21"/>
      <c r="V36" s="23"/>
      <c r="W36" s="23"/>
      <c r="X36" s="23"/>
      <c r="Y36" s="23"/>
    </row>
    <row r="37" spans="2:30">
      <c r="C37" s="86"/>
      <c r="D37" s="86"/>
      <c r="I37" s="65"/>
      <c r="J37" s="21"/>
      <c r="K37" s="21"/>
      <c r="L37" s="21"/>
      <c r="M37" s="21"/>
      <c r="N37" s="21"/>
      <c r="O37" s="21"/>
      <c r="P37" s="21"/>
      <c r="Q37" s="21"/>
      <c r="R37" s="22"/>
      <c r="S37" s="22"/>
      <c r="T37" s="22"/>
      <c r="U37" s="21"/>
      <c r="V37" s="23"/>
      <c r="W37" s="23"/>
      <c r="X37" s="23"/>
      <c r="Y37" s="23"/>
    </row>
    <row r="38" spans="2:30" ht="17" customHeight="1">
      <c r="B38" s="180" t="s">
        <v>76</v>
      </c>
      <c r="C38" s="150"/>
      <c r="D38" s="150"/>
      <c r="F38" s="12" t="s">
        <v>134</v>
      </c>
      <c r="G38" s="12" t="s">
        <v>79</v>
      </c>
      <c r="I38" s="185" t="s">
        <v>176</v>
      </c>
      <c r="J38" s="166"/>
      <c r="K38" s="166"/>
      <c r="L38" s="166"/>
      <c r="M38" s="167"/>
      <c r="S38" s="180" t="s">
        <v>173</v>
      </c>
      <c r="T38" s="150"/>
      <c r="U38" s="150"/>
      <c r="V38" s="150"/>
    </row>
    <row r="39" spans="2:30" ht="36" customHeight="1">
      <c r="B39" s="16" t="s">
        <v>77</v>
      </c>
      <c r="C39" s="12">
        <f>IF(VALUE(SUBSTITUTE(SUBSTITUTE(D3,"G",""),"H",""))&lt;=15,
   IF(D7="Regulares",8, IF(D7="Medias",6, IF(D7="Buenas",4, IF(D7="Muy buenas",3,"")))),
   IF(D7="Medias",7, IF(D7="Buenas",5, IF(D7="Muy buenas",4,"")))
)</f>
        <v>4</v>
      </c>
      <c r="D39" s="12" t="s">
        <v>78</v>
      </c>
      <c r="F39" s="77">
        <v>0.01</v>
      </c>
      <c r="G39" s="12">
        <v>2.33</v>
      </c>
      <c r="I39" s="13" t="s">
        <v>60</v>
      </c>
      <c r="J39" s="27" t="s">
        <v>117</v>
      </c>
      <c r="K39" s="13" t="s">
        <v>61</v>
      </c>
      <c r="L39" s="27" t="s">
        <v>62</v>
      </c>
      <c r="M39" s="27" t="s">
        <v>63</v>
      </c>
      <c r="N39" s="27" t="s">
        <v>118</v>
      </c>
      <c r="O39" s="27" t="s">
        <v>119</v>
      </c>
      <c r="P39" s="27" t="s">
        <v>120</v>
      </c>
      <c r="Q39" s="27" t="s">
        <v>121</v>
      </c>
      <c r="R39" s="74"/>
      <c r="S39" s="162" t="s">
        <v>117</v>
      </c>
      <c r="T39" s="162"/>
      <c r="U39" s="162" t="s">
        <v>66</v>
      </c>
      <c r="V39" s="162"/>
    </row>
    <row r="40" spans="2:30">
      <c r="B40" s="12" t="s">
        <v>133</v>
      </c>
      <c r="C40" s="12">
        <f>VLOOKUP(D4,$F$39:$G$43,2,FALSE)</f>
        <v>2.33</v>
      </c>
      <c r="D40" s="12" t="s">
        <v>79</v>
      </c>
      <c r="F40" s="77">
        <v>0.05</v>
      </c>
      <c r="G40" s="12">
        <v>1.645</v>
      </c>
      <c r="I40" s="13">
        <f t="shared" ref="I40:I49" si="8">I26</f>
        <v>80</v>
      </c>
      <c r="J40" s="28">
        <f t="shared" ref="J40:J49" si="9">IF($D$5&lt;=10, AD26,
 IF($D$5&lt;=20, AC26,
  IF($D$5&lt;=40, AB26,
   IF($D$5&lt;=80, AA26, ""))))</f>
        <v>1</v>
      </c>
      <c r="K40" s="13">
        <f t="shared" ref="K40:K48" si="10">I5</f>
        <v>75</v>
      </c>
      <c r="L40" s="28">
        <f t="shared" ref="L40:L48" si="11">U5</f>
        <v>1</v>
      </c>
      <c r="M40" s="28" cm="1">
        <f t="array" ref="M40">IF(I40="","",
IF(I40&gt;=MAX($K$40:$K$55),INDEX($L$40:$L$55,1),
IF(I40&lt;=MIN($K$40:$K$55),INDEX($L$40:$L$55,ROWS($K$40:$K$55)),
INDEX($L$40:$L$55,MATCH(I40,$K$40:$K$55,-1))+
(INDEX($L$40:$L$55,MATCH(I40,$K$40:$K$55,-1)+1)-INDEX($L$40:$L$55,MATCH(I40,$K$40:$K$55,-1)))*
(LOG10(I40)-LOG10(INDEX($K$40:$K$55,MATCH(I40,$K$40:$K$55,-1))))/
(LOG10(INDEX($K$40:$K$55,MATCH(I40,$K$40:$K$55,-1)+1))-LOG10(INDEX($K$40:$K$55,MATCH(I40,$K$40:$K$55,-1))))
)
)
)</f>
        <v>1</v>
      </c>
      <c r="N40" s="76">
        <f>1-L40</f>
        <v>0</v>
      </c>
      <c r="O40" s="45">
        <f t="shared" ref="O40:O49" si="12">MAX(0,AG4-$D$13)</f>
        <v>0</v>
      </c>
      <c r="P40" s="45">
        <f t="shared" ref="P40:P49" si="13">MIN(O40,MAX(0,AH4+$D$13))</f>
        <v>0</v>
      </c>
      <c r="Q40" s="102">
        <f>IF(AND(ROUND(N40,5)&gt;=ROUND(P40,5), ROUND(N40,5)&lt;=ROUND(O40,5)),1,0)</f>
        <v>1</v>
      </c>
      <c r="R40" s="23"/>
      <c r="S40" s="183">
        <f t="shared" ref="S40:S49" si="14">J40</f>
        <v>1</v>
      </c>
      <c r="T40" s="150"/>
      <c r="U40" s="184">
        <f t="shared" ref="U40:U49" si="15">M40</f>
        <v>1</v>
      </c>
      <c r="V40" s="162"/>
    </row>
    <row r="41" spans="2:30">
      <c r="B41" s="12" t="s">
        <v>80</v>
      </c>
      <c r="C41" s="12">
        <f>F23</f>
        <v>15</v>
      </c>
      <c r="D41" s="12" t="s">
        <v>81</v>
      </c>
      <c r="F41" s="77">
        <v>0.1</v>
      </c>
      <c r="G41" s="12">
        <v>1.282</v>
      </c>
      <c r="I41" s="13">
        <f t="shared" si="8"/>
        <v>40</v>
      </c>
      <c r="J41" s="28">
        <f t="shared" si="9"/>
        <v>1</v>
      </c>
      <c r="K41" s="13">
        <f t="shared" si="10"/>
        <v>63</v>
      </c>
      <c r="L41" s="28">
        <f t="shared" si="11"/>
        <v>1</v>
      </c>
      <c r="M41" s="28" cm="1">
        <f t="array" ref="M41">IF(I41="","",
IF(I41&gt;=MAX($K$40:$K$55),INDEX($L$40:$L$55,1),
IF(I41&lt;=MIN($K$40:$K$55),INDEX($L$40:$L$55,ROWS($K$40:$K$55)),
INDEX($L$40:$L$55,MATCH(I41,$K$40:$K$55,-1))+
(INDEX($L$40:$L$55,MATCH(I41,$K$40:$K$55,-1)+1)-INDEX($L$40:$L$55,MATCH(I41,$K$40:$K$55,-1)))*
(LOG10(I41)-LOG10(INDEX($K$40:$K$55,MATCH(I41,$K$40:$K$55,-1))))/
(LOG10(INDEX($K$40:$K$55,MATCH(I41,$K$40:$K$55,-1)+1))-LOG10(INDEX($K$40:$K$55,MATCH(I41,$K$40:$K$55,-1))))
)
)
)</f>
        <v>0.99069207687170235</v>
      </c>
      <c r="N41" s="76">
        <f>L40-L41</f>
        <v>0</v>
      </c>
      <c r="O41" s="45">
        <f t="shared" si="12"/>
        <v>0</v>
      </c>
      <c r="P41" s="45">
        <f t="shared" si="13"/>
        <v>0</v>
      </c>
      <c r="Q41" s="102">
        <f t="shared" ref="Q41:Q54" si="16">IF(AND(ROUND(N41,5)&gt;=ROUND(P41,5), ROUND(N41,5)&lt;=ROUND(O41,5)),1,0)</f>
        <v>1</v>
      </c>
      <c r="R41" s="23"/>
      <c r="S41" s="183">
        <f t="shared" si="14"/>
        <v>1</v>
      </c>
      <c r="T41" s="150"/>
      <c r="U41" s="184">
        <f t="shared" si="15"/>
        <v>0.99069207687170235</v>
      </c>
      <c r="V41" s="162"/>
    </row>
    <row r="42" spans="2:30">
      <c r="B42" s="12" t="s">
        <v>82</v>
      </c>
      <c r="C42" s="12">
        <f>F24</f>
        <v>24.32</v>
      </c>
      <c r="D42" s="12" t="s">
        <v>83</v>
      </c>
      <c r="F42" s="77">
        <v>0.15</v>
      </c>
      <c r="G42" s="12">
        <v>1.036</v>
      </c>
      <c r="I42" s="13">
        <f t="shared" si="8"/>
        <v>20</v>
      </c>
      <c r="J42" s="28">
        <f t="shared" si="9"/>
        <v>1</v>
      </c>
      <c r="K42" s="13">
        <f t="shared" si="10"/>
        <v>50</v>
      </c>
      <c r="L42" s="28">
        <f t="shared" si="11"/>
        <v>1</v>
      </c>
      <c r="M42" s="28" cm="1">
        <f t="array" ref="M42">IF(I42="","",
IF(I42&gt;=MAX($K$40:$K$55),INDEX($L$40:$L$55,1),
IF(I42&lt;=MIN($K$40:$K$55),INDEX($L$40:$L$55,ROWS($K$40:$K$55)),
INDEX($L$40:$L$55,MATCH(I42,$K$40:$K$55,-1))+
(INDEX($L$40:$L$55,MATCH(I42,$K$40:$K$55,-1)+1)-INDEX($L$40:$L$55,MATCH(I42,$K$40:$K$55,-1)))*
(LOG10(I42)-LOG10(INDEX($K$40:$K$55,MATCH(I42,$K$40:$K$55,-1))))/
(LOG10(INDEX($K$40:$K$55,MATCH(I42,$K$40:$K$55,-1)+1))-LOG10(INDEX($K$40:$K$55,MATCH(I42,$K$40:$K$55,-1))))
)
)
)</f>
        <v>0.83374632384896852</v>
      </c>
      <c r="N42" s="76">
        <f t="shared" ref="N42:N54" si="17">L41-L42</f>
        <v>0</v>
      </c>
      <c r="O42" s="45">
        <f t="shared" si="12"/>
        <v>0</v>
      </c>
      <c r="P42" s="45">
        <f t="shared" si="13"/>
        <v>0</v>
      </c>
      <c r="Q42" s="102">
        <f t="shared" si="16"/>
        <v>1</v>
      </c>
      <c r="R42" s="23"/>
      <c r="S42" s="183">
        <f t="shared" si="14"/>
        <v>1</v>
      </c>
      <c r="T42" s="150"/>
      <c r="U42" s="184">
        <f t="shared" si="15"/>
        <v>0.83374632384896852</v>
      </c>
      <c r="V42" s="162"/>
    </row>
    <row r="43" spans="2:30">
      <c r="C43" s="12">
        <f>C42*145.038</f>
        <v>3527.3241600000001</v>
      </c>
      <c r="D43" s="12" t="s">
        <v>84</v>
      </c>
      <c r="F43" s="77">
        <v>0.2</v>
      </c>
      <c r="G43" s="12">
        <v>0.84199999999999997</v>
      </c>
      <c r="I43" s="13">
        <f t="shared" si="8"/>
        <v>10</v>
      </c>
      <c r="J43" s="28">
        <f t="shared" si="9"/>
        <v>1</v>
      </c>
      <c r="K43" s="13">
        <f t="shared" si="10"/>
        <v>37.5</v>
      </c>
      <c r="L43" s="28">
        <f t="shared" si="11"/>
        <v>0.98799999999999999</v>
      </c>
      <c r="M43" s="28" cm="1">
        <f t="array" ref="M43">IF(I43="","",
IF(I43&gt;=MAX($K$40:$K$55),INDEX($L$40:$L$55,1),
IF(I43&lt;=MIN($K$40:$K$55),INDEX($L$40:$L$55,ROWS($K$40:$K$55)),
INDEX($L$40:$L$55,MATCH(I43,$K$40:$K$55,-1))+
(INDEX($L$40:$L$55,MATCH(I43,$K$40:$K$55,-1)+1)-INDEX($L$40:$L$55,MATCH(I43,$K$40:$K$55,-1)))*
(LOG10(I43)-LOG10(INDEX($K$40:$K$55,MATCH(I43,$K$40:$K$55,-1))))/
(LOG10(INDEX($K$40:$K$55,MATCH(I43,$K$40:$K$55,-1)+1))-LOG10(INDEX($K$40:$K$55,MATCH(I43,$K$40:$K$55,-1))))
)
)
)</f>
        <v>0.65371899855987714</v>
      </c>
      <c r="N43" s="76">
        <f t="shared" si="17"/>
        <v>1.2000000000000011E-2</v>
      </c>
      <c r="O43" s="45">
        <f t="shared" si="12"/>
        <v>2.5000000000000001E-2</v>
      </c>
      <c r="P43" s="45">
        <f t="shared" si="13"/>
        <v>0</v>
      </c>
      <c r="Q43" s="102">
        <f t="shared" si="16"/>
        <v>1</v>
      </c>
      <c r="R43" s="23"/>
      <c r="S43" s="183">
        <f t="shared" si="14"/>
        <v>1</v>
      </c>
      <c r="T43" s="150"/>
      <c r="U43" s="184">
        <f t="shared" si="15"/>
        <v>0.65371899855987714</v>
      </c>
      <c r="V43" s="162"/>
    </row>
    <row r="44" spans="2:30">
      <c r="I44" s="13">
        <f t="shared" si="8"/>
        <v>5</v>
      </c>
      <c r="J44" s="28">
        <f t="shared" si="9"/>
        <v>0.63</v>
      </c>
      <c r="K44" s="13">
        <f t="shared" si="10"/>
        <v>25</v>
      </c>
      <c r="L44" s="28">
        <f t="shared" si="11"/>
        <v>0.92399999999999993</v>
      </c>
      <c r="M44" s="28" cm="1">
        <f t="array" ref="M44">IF(I44="","",
IF(I44&gt;=MAX($K$40:$K$55),INDEX($L$40:$L$55,1),
IF(I44&lt;=MIN($K$40:$K$55),INDEX($L$40:$L$55,ROWS($K$40:$K$55)),
INDEX($L$40:$L$55,MATCH(I44,$K$40:$K$55,-1))+
(INDEX($L$40:$L$55,MATCH(I44,$K$40:$K$55,-1)+1)-INDEX($L$40:$L$55,MATCH(I44,$K$40:$K$55,-1)))*
(LOG10(I44)-LOG10(INDEX($K$40:$K$55,MATCH(I44,$K$40:$K$55,-1))))/
(LOG10(INDEX($K$40:$K$55,MATCH(I44,$K$40:$K$55,-1)+1))-LOG10(INDEX($K$40:$K$55,MATCH(I44,$K$40:$K$55,-1))))
)
)
)</f>
        <v>0.40578736149251737</v>
      </c>
      <c r="N44" s="76">
        <f t="shared" si="17"/>
        <v>6.4000000000000057E-2</v>
      </c>
      <c r="O44" s="45">
        <f t="shared" si="12"/>
        <v>0.15</v>
      </c>
      <c r="P44" s="45">
        <f t="shared" si="13"/>
        <v>0</v>
      </c>
      <c r="Q44" s="102">
        <f t="shared" si="16"/>
        <v>1</v>
      </c>
      <c r="R44" s="23"/>
      <c r="S44" s="183">
        <f t="shared" si="14"/>
        <v>0.63</v>
      </c>
      <c r="T44" s="150"/>
      <c r="U44" s="184">
        <f t="shared" si="15"/>
        <v>0.40578736149251737</v>
      </c>
      <c r="V44" s="162"/>
    </row>
    <row r="45" spans="2:30" ht="31.5">
      <c r="B45" s="192" t="s">
        <v>85</v>
      </c>
      <c r="C45" s="193"/>
      <c r="D45" s="194"/>
      <c r="F45" s="16" t="s">
        <v>138</v>
      </c>
      <c r="G45" s="16" t="s">
        <v>139</v>
      </c>
      <c r="I45" s="13">
        <f t="shared" si="8"/>
        <v>2.5</v>
      </c>
      <c r="J45" s="28">
        <f t="shared" si="9"/>
        <v>0.49000000000000005</v>
      </c>
      <c r="K45" s="13">
        <f t="shared" si="10"/>
        <v>19</v>
      </c>
      <c r="L45" s="28">
        <f t="shared" si="11"/>
        <v>0.81299999999999994</v>
      </c>
      <c r="M45" s="28" cm="1">
        <f t="array" ref="M45">IF(I45="","",
IF(I45&gt;=MAX($K$40:$K$55),INDEX($L$40:$L$55,1),
IF(I45&lt;=MIN($K$40:$K$55),INDEX($L$40:$L$55,ROWS($K$40:$K$55)),
INDEX($L$40:$L$55,MATCH(I45,$K$40:$K$55,-1))+
(INDEX($L$40:$L$55,MATCH(I45,$K$40:$K$55,-1)+1)-INDEX($L$40:$L$55,MATCH(I45,$K$40:$K$55,-1)))*
(LOG10(I45)-LOG10(INDEX($K$40:$K$55,MATCH(I45,$K$40:$K$55,-1))))/
(LOG10(INDEX($K$40:$K$55,MATCH(I45,$K$40:$K$55,-1)+1))-LOG10(INDEX($K$40:$K$55,MATCH(I45,$K$40:$K$55,-1))))
)
)
)</f>
        <v>0.28332120352424051</v>
      </c>
      <c r="N45" s="76">
        <f t="shared" si="17"/>
        <v>0.11099999999999999</v>
      </c>
      <c r="O45" s="45">
        <f t="shared" si="12"/>
        <v>0.2</v>
      </c>
      <c r="P45" s="45">
        <f t="shared" si="13"/>
        <v>0</v>
      </c>
      <c r="Q45" s="102">
        <f t="shared" si="16"/>
        <v>1</v>
      </c>
      <c r="R45" s="23"/>
      <c r="S45" s="183">
        <f t="shared" si="14"/>
        <v>0.49000000000000005</v>
      </c>
      <c r="T45" s="150"/>
      <c r="U45" s="184">
        <f t="shared" si="15"/>
        <v>0.28332120352424051</v>
      </c>
      <c r="V45" s="162"/>
    </row>
    <row r="46" spans="2:30">
      <c r="B46" s="195"/>
      <c r="C46" s="196"/>
      <c r="D46" s="197"/>
      <c r="F46" s="92">
        <v>2000</v>
      </c>
      <c r="G46" s="12">
        <v>0.82</v>
      </c>
      <c r="I46" s="13">
        <f t="shared" si="8"/>
        <v>1.25</v>
      </c>
      <c r="J46" s="28">
        <f t="shared" si="9"/>
        <v>0.38</v>
      </c>
      <c r="K46" s="13">
        <f t="shared" si="10"/>
        <v>12.5</v>
      </c>
      <c r="L46" s="28">
        <f t="shared" si="11"/>
        <v>0.69599999999999995</v>
      </c>
      <c r="M46" s="28" cm="1">
        <f t="array" ref="M46">IF(I46="","",
IF(I46&gt;=MAX($K$40:$K$55),INDEX($L$40:$L$55,1),
IF(I46&lt;=MIN($K$40:$K$55),INDEX($L$40:$L$55,ROWS($K$40:$K$55)),
INDEX($L$40:$L$55,MATCH(I46,$K$40:$K$55,-1))+
(INDEX($L$40:$L$55,MATCH(I46,$K$40:$K$55,-1)+1)-INDEX($L$40:$L$55,MATCH(I46,$K$40:$K$55,-1)))*
(LOG10(I46)-LOG10(INDEX($K$40:$K$55,MATCH(I46,$K$40:$K$55,-1))))/
(LOG10(INDEX($K$40:$K$55,MATCH(I46,$K$40:$K$55,-1)+1))-LOG10(INDEX($K$40:$K$55,MATCH(I46,$K$40:$K$55,-1))))
)
)
)</f>
        <v>0.19706700500052082</v>
      </c>
      <c r="N46" s="76">
        <f t="shared" si="17"/>
        <v>0.11699999999999999</v>
      </c>
      <c r="O46" s="45">
        <f t="shared" si="12"/>
        <v>0.2</v>
      </c>
      <c r="P46" s="45">
        <f t="shared" si="13"/>
        <v>0.05</v>
      </c>
      <c r="Q46" s="102">
        <f t="shared" si="16"/>
        <v>1</v>
      </c>
      <c r="R46" s="23"/>
      <c r="S46" s="183">
        <f t="shared" si="14"/>
        <v>0.38</v>
      </c>
      <c r="T46" s="150"/>
      <c r="U46" s="184">
        <f t="shared" si="15"/>
        <v>0.19706700500052082</v>
      </c>
      <c r="V46" s="162"/>
    </row>
    <row r="47" spans="2:30">
      <c r="F47" s="92">
        <v>3000</v>
      </c>
      <c r="G47" s="12">
        <v>0.68</v>
      </c>
      <c r="I47" s="13">
        <f t="shared" si="8"/>
        <v>0.63</v>
      </c>
      <c r="J47" s="28">
        <f t="shared" si="9"/>
        <v>0.20750000000000002</v>
      </c>
      <c r="K47" s="13">
        <f t="shared" si="10"/>
        <v>9.5</v>
      </c>
      <c r="L47" s="28">
        <f t="shared" si="11"/>
        <v>0.64400000000000002</v>
      </c>
      <c r="M47" s="28" cm="1">
        <f t="array" ref="M47">IF(I47="","",
IF(I47&gt;=MAX($K$40:$K$55),INDEX($L$40:$L$55,1),
IF(I47&lt;=MIN($K$40:$K$55),INDEX($L$40:$L$55,ROWS($K$40:$K$55)),
INDEX($L$40:$L$55,MATCH(I47,$K$40:$K$55,-1))+
(INDEX($L$40:$L$55,MATCH(I47,$K$40:$K$55,-1)+1)-INDEX($L$40:$L$55,MATCH(I47,$K$40:$K$55,-1)))*
(LOG10(I47)-LOG10(INDEX($K$40:$K$55,MATCH(I47,$K$40:$K$55,-1))))/
(LOG10(INDEX($K$40:$K$55,MATCH(I47,$K$40:$K$55,-1)+1))-LOG10(INDEX($K$40:$K$55,MATCH(I47,$K$40:$K$55,-1))))
)
)
)</f>
        <v>0.13896761803584001</v>
      </c>
      <c r="N47" s="76">
        <f t="shared" si="17"/>
        <v>5.1999999999999935E-2</v>
      </c>
      <c r="O47" s="45">
        <f t="shared" si="12"/>
        <v>0.2</v>
      </c>
      <c r="P47" s="45">
        <f t="shared" si="13"/>
        <v>0.05</v>
      </c>
      <c r="Q47" s="102">
        <f t="shared" si="16"/>
        <v>1</v>
      </c>
      <c r="R47" s="23"/>
      <c r="S47" s="183">
        <f t="shared" si="14"/>
        <v>0.20750000000000002</v>
      </c>
      <c r="T47" s="150"/>
      <c r="U47" s="184">
        <f t="shared" si="15"/>
        <v>0.13896761803584001</v>
      </c>
      <c r="V47" s="162"/>
    </row>
    <row r="48" spans="2:30">
      <c r="B48" s="11" t="s">
        <v>86</v>
      </c>
      <c r="C48" s="11" cm="1">
        <f t="array" ref="C48">IFERROR(
   INDEX($G$46:$G$51,MATCH(C43,$F$46:$F$51,0)),
   INDEX($G$46:$G$51,MATCH(C43,$F$46:$F$51,1)) +
   (C43 - INDEX($F$46:$F$51,MATCH(C43,$F$46:$F$51,1))) *
   (INDEX($G$46:$G$51,MATCH(C43,$F$46:$F$51,1)+1) - INDEX($G$46:$G$51,MATCH(C43,$F$46:$F$51,1))) /
   (INDEX($F$46:$F$51,MATCH(C43,$F$46:$F$51,1)+1) - INDEX($F$46:$F$51,MATCH(C43,$F$46:$F$51,1)))
)</f>
        <v>0.62199434239999996</v>
      </c>
      <c r="F48" s="92">
        <v>4000</v>
      </c>
      <c r="G48" s="12">
        <v>0.56999999999999995</v>
      </c>
      <c r="I48" s="13">
        <f t="shared" si="8"/>
        <v>0.315</v>
      </c>
      <c r="J48" s="28">
        <f t="shared" si="9"/>
        <v>0.11</v>
      </c>
      <c r="K48" s="13">
        <f t="shared" si="10"/>
        <v>6.3</v>
      </c>
      <c r="L48" s="28">
        <f t="shared" si="11"/>
        <v>0.53999999999999992</v>
      </c>
      <c r="M48" s="28" cm="1">
        <f t="array" ref="M48">IF(I48="","",
IF(I48&gt;=MAX($K$40:$K$55),INDEX($L$40:$L$55,1),
IF(I48&lt;=MIN($K$40:$K$55),INDEX($L$40:$L$55,ROWS($K$40:$K$55)),
INDEX($L$40:$L$55,MATCH(I48,$K$40:$K$55,-1))+
(INDEX($L$40:$L$55,MATCH(I48,$K$40:$K$55,-1)+1)-INDEX($L$40:$L$55,MATCH(I48,$K$40:$K$55,-1)))*
(LOG10(I48)-LOG10(INDEX($K$40:$K$55,MATCH(I48,$K$40:$K$55,-1))))/
(LOG10(INDEX($K$40:$K$55,MATCH(I48,$K$40:$K$55,-1)+1))-LOG10(INDEX($K$40:$K$55,MATCH(I48,$K$40:$K$55,-1))))
)
)
)</f>
        <v>5.5983092870768802E-2</v>
      </c>
      <c r="N48" s="76">
        <f t="shared" si="17"/>
        <v>0.10400000000000009</v>
      </c>
      <c r="O48" s="45">
        <f t="shared" si="12"/>
        <v>0.2</v>
      </c>
      <c r="P48" s="45">
        <f t="shared" si="13"/>
        <v>0.05</v>
      </c>
      <c r="Q48" s="102">
        <f t="shared" si="16"/>
        <v>1</v>
      </c>
      <c r="R48" s="23"/>
      <c r="S48" s="183">
        <f t="shared" si="14"/>
        <v>0.11</v>
      </c>
      <c r="T48" s="150"/>
      <c r="U48" s="184">
        <f t="shared" si="15"/>
        <v>5.5983092870768802E-2</v>
      </c>
      <c r="V48" s="162"/>
    </row>
    <row r="49" spans="2:28">
      <c r="F49" s="92">
        <v>5000</v>
      </c>
      <c r="G49" s="12">
        <v>0.48</v>
      </c>
      <c r="I49" s="13">
        <f t="shared" si="8"/>
        <v>0.16</v>
      </c>
      <c r="J49" s="28">
        <f t="shared" si="9"/>
        <v>0.05</v>
      </c>
      <c r="K49" s="13">
        <f t="shared" ref="K49:K52" si="18">I14</f>
        <v>4.75</v>
      </c>
      <c r="L49" s="28">
        <f t="shared" ref="L49:L52" si="19">U14</f>
        <v>0.37599999999999995</v>
      </c>
      <c r="M49" s="28" cm="1">
        <f t="array" ref="M49">IF(I49="","",
IF(I49&gt;=MAX($K$40:$K$55),INDEX($L$40:$L$55,1),
IF(I49&lt;=MIN($K$40:$K$55),INDEX($L$40:$L$55,ROWS($K$40:$K$55)),
INDEX($L$40:$L$55,MATCH(I49,$K$40:$K$55,-1))+
(INDEX($L$40:$L$55,MATCH(I49,$K$40:$K$55,-1)+1)-INDEX($L$40:$L$55,MATCH(I49,$K$40:$K$55,-1)))*
(LOG10(I49)-LOG10(INDEX($K$40:$K$55,MATCH(I49,$K$40:$K$55,-1))))/
(LOG10(INDEX($K$40:$K$55,MATCH(I49,$K$40:$K$55,-1)+1))-LOG10(INDEX($K$40:$K$55,MATCH(I49,$K$40:$K$55,-1))))
)
)
)</f>
        <v>2.2793282131744391E-2</v>
      </c>
      <c r="N49" s="76">
        <f t="shared" si="17"/>
        <v>0.16399999999999998</v>
      </c>
      <c r="O49" s="45">
        <f t="shared" si="12"/>
        <v>0.2</v>
      </c>
      <c r="P49" s="45">
        <f t="shared" si="13"/>
        <v>0.05</v>
      </c>
      <c r="Q49" s="102">
        <f t="shared" si="16"/>
        <v>1</v>
      </c>
      <c r="R49" s="23"/>
      <c r="S49" s="183">
        <f t="shared" si="14"/>
        <v>0.05</v>
      </c>
      <c r="T49" s="150"/>
      <c r="U49" s="184">
        <f t="shared" si="15"/>
        <v>2.2793282131744391E-2</v>
      </c>
      <c r="V49" s="162"/>
    </row>
    <row r="50" spans="2:28">
      <c r="B50" s="165" t="s">
        <v>88</v>
      </c>
      <c r="C50" s="166"/>
      <c r="D50" s="167"/>
      <c r="F50" s="92">
        <v>6000</v>
      </c>
      <c r="G50" s="12">
        <v>0.41</v>
      </c>
      <c r="I50" s="13"/>
      <c r="J50" s="28"/>
      <c r="K50" s="13">
        <f t="shared" si="18"/>
        <v>2.36</v>
      </c>
      <c r="L50" s="28">
        <f t="shared" si="19"/>
        <v>0.27499999999999997</v>
      </c>
      <c r="M50" s="13"/>
      <c r="N50" s="76">
        <f t="shared" si="17"/>
        <v>0.10099999999999998</v>
      </c>
      <c r="O50" s="45">
        <f t="shared" ref="O50:O53" si="20">MAX(0,AG14-$D$13)</f>
        <v>0.125</v>
      </c>
      <c r="P50" s="45">
        <f t="shared" ref="P50:P53" si="21">MIN(O50,MAX(0,AH14+$D$13))</f>
        <v>0</v>
      </c>
      <c r="Q50" s="102">
        <f t="shared" si="16"/>
        <v>1</v>
      </c>
      <c r="R50" s="23"/>
      <c r="U50" s="17"/>
      <c r="V50" s="17"/>
    </row>
    <row r="51" spans="2:28">
      <c r="F51" s="92">
        <v>7000</v>
      </c>
      <c r="G51" s="12">
        <v>0.34</v>
      </c>
      <c r="I51" s="13"/>
      <c r="J51" s="28"/>
      <c r="K51" s="13">
        <f t="shared" si="18"/>
        <v>1.18</v>
      </c>
      <c r="L51" s="28">
        <f t="shared" si="19"/>
        <v>0.18999999999999995</v>
      </c>
      <c r="M51" s="13"/>
      <c r="N51" s="76">
        <f t="shared" si="17"/>
        <v>8.500000000000002E-2</v>
      </c>
      <c r="O51" s="45">
        <f t="shared" si="20"/>
        <v>0.125</v>
      </c>
      <c r="P51" s="45">
        <f t="shared" si="21"/>
        <v>0</v>
      </c>
      <c r="Q51" s="102">
        <f t="shared" si="16"/>
        <v>1</v>
      </c>
      <c r="R51" s="23"/>
      <c r="S51" s="150" t="s">
        <v>68</v>
      </c>
      <c r="T51" s="150"/>
      <c r="U51" s="17"/>
      <c r="V51" s="16" t="s">
        <v>186</v>
      </c>
    </row>
    <row r="52" spans="2:28">
      <c r="C52" s="11" t="s">
        <v>87</v>
      </c>
      <c r="I52" s="13"/>
      <c r="J52" s="28"/>
      <c r="K52" s="13">
        <f t="shared" si="18"/>
        <v>0.6</v>
      </c>
      <c r="L52" s="28">
        <f t="shared" si="19"/>
        <v>0.13499999999999995</v>
      </c>
      <c r="M52" s="13"/>
      <c r="N52" s="76">
        <f t="shared" si="17"/>
        <v>5.4999999999999993E-2</v>
      </c>
      <c r="O52" s="45">
        <f t="shared" si="20"/>
        <v>0.2</v>
      </c>
      <c r="P52" s="45">
        <f t="shared" si="21"/>
        <v>0.05</v>
      </c>
      <c r="Q52" s="102">
        <f t="shared" si="16"/>
        <v>1</v>
      </c>
      <c r="R52" s="23"/>
      <c r="S52" s="150">
        <f>SUMX2MY2(S40:T49,U40:V49)</f>
        <v>1.4283686663802073</v>
      </c>
      <c r="T52" s="150"/>
      <c r="U52" s="17"/>
      <c r="V52" s="16">
        <f>MIN($S$52)</f>
        <v>1.4283686663802073</v>
      </c>
    </row>
    <row r="53" spans="2:28">
      <c r="B53" s="11" t="str">
        <f>D9</f>
        <v>C0</v>
      </c>
      <c r="C53" s="11" t="str">
        <f>IFERROR(VLOOKUP(D9,$F$55:$G$66,2,FALSE),1000)</f>
        <v>NA</v>
      </c>
      <c r="F53" s="12" t="s">
        <v>142</v>
      </c>
      <c r="G53" s="12" t="s">
        <v>143</v>
      </c>
      <c r="I53" s="13"/>
      <c r="J53" s="28"/>
      <c r="K53" s="13">
        <f>I18</f>
        <v>0.3</v>
      </c>
      <c r="L53" s="28">
        <f>U18</f>
        <v>4.9999999999999947E-2</v>
      </c>
      <c r="M53" s="13"/>
      <c r="N53" s="76">
        <f t="shared" si="17"/>
        <v>8.5000000000000006E-2</v>
      </c>
      <c r="O53" s="45">
        <f t="shared" si="20"/>
        <v>0.2</v>
      </c>
      <c r="P53" s="45">
        <f t="shared" si="21"/>
        <v>0.05</v>
      </c>
      <c r="Q53" s="102">
        <f t="shared" si="16"/>
        <v>1</v>
      </c>
      <c r="R53" s="23"/>
      <c r="U53" s="17"/>
      <c r="V53" s="12">
        <f>COUNT($E$32:$E$34)</f>
        <v>3</v>
      </c>
    </row>
    <row r="54" spans="2:28">
      <c r="F54" s="12" t="s">
        <v>144</v>
      </c>
      <c r="G54" s="12" t="s">
        <v>156</v>
      </c>
      <c r="I54" s="13"/>
      <c r="J54" s="13"/>
      <c r="K54" s="13">
        <f>I19</f>
        <v>0.15</v>
      </c>
      <c r="L54" s="28">
        <f>U19</f>
        <v>1.9999999999999948E-2</v>
      </c>
      <c r="M54" s="13"/>
      <c r="N54" s="76">
        <f t="shared" si="17"/>
        <v>0.03</v>
      </c>
      <c r="O54" s="45">
        <f>MAX(0,AG18-$D$13)</f>
        <v>0.1</v>
      </c>
      <c r="P54" s="45">
        <f>MIN(O54,MAX(0,AH18+$D$13))</f>
        <v>0</v>
      </c>
      <c r="Q54" s="102">
        <f t="shared" si="16"/>
        <v>1</v>
      </c>
      <c r="R54" s="23"/>
      <c r="U54" s="17"/>
      <c r="V54" s="16" t="b">
        <f>$C$36=1</f>
        <v>1</v>
      </c>
    </row>
    <row r="55" spans="2:28">
      <c r="B55" s="165" t="s">
        <v>89</v>
      </c>
      <c r="C55" s="166"/>
      <c r="D55" s="167"/>
      <c r="F55" s="12" t="s">
        <v>145</v>
      </c>
      <c r="G55" s="12">
        <v>0.55000000000000004</v>
      </c>
      <c r="V55" s="12" t="b">
        <f t="array" ref="V55">$Q$40:$Q$54=1</f>
        <v>1</v>
      </c>
    </row>
    <row r="56" spans="2:28">
      <c r="F56" s="12" t="s">
        <v>146</v>
      </c>
      <c r="G56" s="12">
        <v>0.45</v>
      </c>
      <c r="V56" s="12">
        <f>{32767;32767;0.000001;1;FALSE;FALSE;TRUE;1;1;1;"""""""""""""""""""""""""""""""""""""""""""""""""""""""""""""""""""""""""""""""""""""""""""""""""""""""""""""""""""""""""""""""0,0001""""""""""""""""""""""""""""""""""""""""""""""""""""""""""""""""""""""""""""""""""""""""""""""""""""""""""""""""""""""""""""""";TRUE}</f>
        <v>32767</v>
      </c>
    </row>
    <row r="57" spans="2:28">
      <c r="B57" s="11" t="s">
        <v>157</v>
      </c>
      <c r="C57" s="11" t="str" cm="1">
        <f t="array" ref="C57">INDEX($J$5:$J$19,MIN(
   IF($L$5:$L$19&lt;&gt;0,ROW($L$5:$L$19)),
   IF($O$5:$O$19&lt;&gt;0,ROW($O$5:$O$19)),
   IF($R$5:$R$15&lt;&gt;0,ROW($R$5:$R$15))
)-ROW($J$5)+1)</f>
        <v>1 1/2"</v>
      </c>
      <c r="D57" s="11" t="s">
        <v>158</v>
      </c>
      <c r="F57" s="12" t="s">
        <v>147</v>
      </c>
      <c r="G57" s="12">
        <v>0.4</v>
      </c>
      <c r="I57" s="185" t="s">
        <v>175</v>
      </c>
      <c r="J57" s="166"/>
      <c r="K57" s="167"/>
      <c r="M57" s="185" t="s">
        <v>174</v>
      </c>
      <c r="N57" s="190"/>
      <c r="O57" s="190"/>
      <c r="P57" s="190"/>
      <c r="Q57" s="190"/>
      <c r="R57" s="190"/>
      <c r="S57" s="190"/>
      <c r="T57" s="191"/>
      <c r="V57" s="12">
        <f>{0;0;0;100;0;FALSE;TRUE;"""""""""""""""""""""""""""""""""""""""""""""""""""""""""""""""""""""""""""""""""""""""""""""""""""""""""""""""""""""""""""""""0,075""""""""""""""""""""""""""""""""""""""""""""""""""""""""""""""""""""""""""""""""""""""""""""""""""""""""""""""""""""""""""""""";0;0;FALSE;30}</f>
        <v>0</v>
      </c>
      <c r="Y57" s="180" t="str">
        <f>Y89</f>
        <v>Rendimiento</v>
      </c>
      <c r="Z57" s="180"/>
      <c r="AA57" s="180"/>
      <c r="AB57" s="180"/>
    </row>
    <row r="58" spans="2:28" ht="49.05" customHeight="1">
      <c r="B58" s="11" t="s">
        <v>159</v>
      </c>
      <c r="C58" s="11">
        <f>IFERROR(VLOOKUP(D6,$F$69:$G$73,2,FALSE),"N/A")</f>
        <v>4</v>
      </c>
      <c r="D58" s="11" t="s">
        <v>158</v>
      </c>
      <c r="F58" s="12" t="s">
        <v>148</v>
      </c>
      <c r="G58" s="12" t="s">
        <v>156</v>
      </c>
      <c r="I58" s="12" t="s">
        <v>92</v>
      </c>
      <c r="J58" s="102">
        <f>((J60*(1))/F22)+(J59/1000) +((J61*C32)/C22)+((J61*C33)/D22)+((J61*C34)/E22)+C62+((J60*D14)/G22)</f>
        <v>1</v>
      </c>
      <c r="K58" s="12" t="s">
        <v>93</v>
      </c>
      <c r="M58" s="90" t="s">
        <v>97</v>
      </c>
      <c r="N58" s="110" t="s">
        <v>98</v>
      </c>
      <c r="O58" s="110" t="s">
        <v>104</v>
      </c>
      <c r="P58" s="110" t="s">
        <v>99</v>
      </c>
      <c r="Q58" s="110" t="s">
        <v>105</v>
      </c>
      <c r="R58" s="110" t="s">
        <v>106</v>
      </c>
      <c r="S58" s="110" t="s">
        <v>109</v>
      </c>
      <c r="T58" s="110" t="s">
        <v>107</v>
      </c>
      <c r="U58" s="17"/>
      <c r="V58" s="17"/>
      <c r="Y58" s="12"/>
      <c r="Z58" s="12" t="s">
        <v>193</v>
      </c>
      <c r="AA58" s="12" t="s">
        <v>194</v>
      </c>
      <c r="AB58" s="12" t="s">
        <v>195</v>
      </c>
    </row>
    <row r="59" spans="2:28">
      <c r="B59" s="11" t="s">
        <v>86</v>
      </c>
      <c r="C59" s="11">
        <f>MIN(C53,C48)</f>
        <v>0.62199434239999996</v>
      </c>
      <c r="F59" s="12" t="s">
        <v>149</v>
      </c>
      <c r="G59" s="12" t="s">
        <v>156</v>
      </c>
      <c r="I59" s="12" t="s">
        <v>94</v>
      </c>
      <c r="J59" s="12">
        <f>C60*0.593276</f>
        <v>177.9828</v>
      </c>
      <c r="K59" s="12" t="s">
        <v>95</v>
      </c>
      <c r="M59" s="66" t="s">
        <v>100</v>
      </c>
      <c r="N59" s="36">
        <f>J60*(1)</f>
        <v>286.14858346338553</v>
      </c>
      <c r="O59" s="36"/>
      <c r="P59" s="36" t="s">
        <v>64</v>
      </c>
      <c r="Q59" s="36"/>
      <c r="R59" s="36"/>
      <c r="S59" s="37"/>
      <c r="T59" s="67">
        <f>N59</f>
        <v>286.14858346338553</v>
      </c>
      <c r="V59" s="12" t="s">
        <v>187</v>
      </c>
      <c r="W59" s="12">
        <f>T65</f>
        <v>2387.442991380417</v>
      </c>
      <c r="Y59" s="12" t="s">
        <v>100</v>
      </c>
      <c r="Z59" s="11">
        <f>T59</f>
        <v>286.14858346338553</v>
      </c>
      <c r="AA59" s="12">
        <f>T59*W61</f>
        <v>281.66082857967916</v>
      </c>
      <c r="AB59" s="12">
        <f>Z59</f>
        <v>286.14858346338553</v>
      </c>
    </row>
    <row r="60" spans="2:28">
      <c r="B60" s="11" t="s">
        <v>94</v>
      </c>
      <c r="C60" s="11">
        <f>IFERROR(
  INDEX($Y$3:$AE$7,
         MATCH($C$58,{1;3;5;7;8},1),
         MATCH($C$57,$Y$2:$AE$2,0)
  ),
  0
)</f>
        <v>300</v>
      </c>
      <c r="D60" s="11" t="s">
        <v>91</v>
      </c>
      <c r="F60" s="12" t="s">
        <v>150</v>
      </c>
      <c r="G60" s="12" t="s">
        <v>156</v>
      </c>
      <c r="I60" s="12" t="s">
        <v>90</v>
      </c>
      <c r="J60" s="12">
        <f>C61*0.593276*(1-D14)</f>
        <v>286.14858346338553</v>
      </c>
      <c r="K60" s="12" t="s">
        <v>95</v>
      </c>
      <c r="M60" s="68" t="s">
        <v>101</v>
      </c>
      <c r="N60" s="11">
        <f>J59</f>
        <v>177.9828</v>
      </c>
      <c r="P60" s="11" t="s">
        <v>64</v>
      </c>
      <c r="Q60" s="11">
        <f>P61+N60</f>
        <v>201.16408970363813</v>
      </c>
      <c r="S60" s="11">
        <f>-P61</f>
        <v>-23.181289703638122</v>
      </c>
      <c r="T60" s="69">
        <f>Q60+S61</f>
        <v>83.347755063862593</v>
      </c>
      <c r="V60" s="12" t="s">
        <v>188</v>
      </c>
      <c r="W60" s="12">
        <v>2350</v>
      </c>
      <c r="Y60" s="12" t="s">
        <v>226</v>
      </c>
      <c r="Z60" s="143">
        <f>T67</f>
        <v>0</v>
      </c>
      <c r="AA60" s="12">
        <f>T67*W61</f>
        <v>0</v>
      </c>
      <c r="AB60" s="143">
        <f>Z60</f>
        <v>0</v>
      </c>
    </row>
    <row r="61" spans="2:28">
      <c r="B61" s="11" t="s">
        <v>90</v>
      </c>
      <c r="C61" s="11">
        <f>C60/C59</f>
        <v>482.31949963151305</v>
      </c>
      <c r="D61" s="11" t="s">
        <v>91</v>
      </c>
      <c r="F61" s="12" t="s">
        <v>151</v>
      </c>
      <c r="G61" s="12" t="s">
        <v>156</v>
      </c>
      <c r="I61" s="62" t="s">
        <v>96</v>
      </c>
      <c r="J61" s="62">
        <v>1923.3116079170313</v>
      </c>
      <c r="K61" s="62" t="s">
        <v>95</v>
      </c>
      <c r="M61" s="68" t="s">
        <v>102</v>
      </c>
      <c r="N61" s="11" t="s">
        <v>64</v>
      </c>
      <c r="P61" s="144">
        <f>-SUM(P62:P65)</f>
        <v>23.181289703638122</v>
      </c>
      <c r="Q61" s="144"/>
      <c r="R61" s="144"/>
      <c r="S61" s="142">
        <f>-SUM(S62:S64)</f>
        <v>-117.81633463977553</v>
      </c>
      <c r="T61" s="70"/>
      <c r="V61" s="12" t="s">
        <v>189</v>
      </c>
      <c r="W61" s="12">
        <f>W60/W59</f>
        <v>0.9843166971879117</v>
      </c>
      <c r="Y61" s="12" t="s">
        <v>190</v>
      </c>
      <c r="Z61" s="104">
        <f>T60</f>
        <v>83.347755063862593</v>
      </c>
      <c r="AA61" s="12">
        <f>T60*W61</f>
        <v>82.040586982488264</v>
      </c>
      <c r="AB61" s="104">
        <f>Z61</f>
        <v>83.347755063862593</v>
      </c>
    </row>
    <row r="62" spans="2:28">
      <c r="B62" s="11" t="s">
        <v>198</v>
      </c>
      <c r="C62" s="108">
        <f>IFERROR(
   INDEX($Y$8:$AE$8, MATCH($C$57, $Y$2:$AE$2, 0)),
   0
)</f>
        <v>0.01</v>
      </c>
      <c r="D62" s="11" t="s">
        <v>199</v>
      </c>
      <c r="F62" s="12" t="s">
        <v>152</v>
      </c>
      <c r="G62" s="12" t="s">
        <v>156</v>
      </c>
      <c r="I62" s="12" t="str">
        <f>B27</f>
        <v>Grava 1</v>
      </c>
      <c r="J62" s="12">
        <f>$J$61*C32</f>
        <v>384.66232158340631</v>
      </c>
      <c r="K62" s="12" t="s">
        <v>95</v>
      </c>
      <c r="M62" s="68" t="str">
        <f>I62</f>
        <v>Grava 1</v>
      </c>
      <c r="N62" s="11">
        <f>J62</f>
        <v>384.66232158340631</v>
      </c>
      <c r="O62" s="141">
        <f>C19</f>
        <v>1.2999999999999999E-2</v>
      </c>
      <c r="P62" s="11">
        <f>-(N62*O62)/(O62+1)</f>
        <v>-4.9364365060062019</v>
      </c>
      <c r="Q62" s="141">
        <f>C20</f>
        <v>0.04</v>
      </c>
      <c r="R62" s="142">
        <f>N62/(O62+1)</f>
        <v>379.72588507740016</v>
      </c>
      <c r="S62" s="142">
        <f>R62*Q62</f>
        <v>15.189035403096007</v>
      </c>
      <c r="T62" s="69">
        <f>R62+S62</f>
        <v>394.91492048049616</v>
      </c>
      <c r="Y62" s="12" t="s">
        <v>191</v>
      </c>
      <c r="Z62" s="104">
        <f>SUM(T62:T64)</f>
        <v>2017.9466528531689</v>
      </c>
      <c r="AA62" s="12">
        <f>Z62*W61</f>
        <v>1986.2985844378327</v>
      </c>
      <c r="AB62" s="106">
        <f>AB63-AB61-AB59</f>
        <v>1980.5036614727519</v>
      </c>
    </row>
    <row r="63" spans="2:28">
      <c r="B63" s="198"/>
      <c r="C63" s="198"/>
      <c r="D63" s="198"/>
      <c r="F63" s="12" t="s">
        <v>153</v>
      </c>
      <c r="G63" s="12" t="s">
        <v>156</v>
      </c>
      <c r="I63" s="12" t="str">
        <f>B28</f>
        <v>Gravilla 2</v>
      </c>
      <c r="J63" s="12">
        <f>$J$61*C33</f>
        <v>576.99348237510935</v>
      </c>
      <c r="K63" s="12" t="s">
        <v>95</v>
      </c>
      <c r="M63" s="68" t="str">
        <f t="shared" ref="M63:M64" si="22">I63</f>
        <v>Gravilla 2</v>
      </c>
      <c r="N63" s="11">
        <f>J63</f>
        <v>576.99348237510935</v>
      </c>
      <c r="O63" s="141">
        <f>D19</f>
        <v>1.2E-2</v>
      </c>
      <c r="P63" s="11">
        <f t="shared" ref="P63:P64" si="23">-(N63*O63)/(O63+1)</f>
        <v>-6.8418199491119687</v>
      </c>
      <c r="Q63" s="141">
        <f>D20</f>
        <v>0.08</v>
      </c>
      <c r="R63" s="142">
        <f t="shared" ref="R63:R64" si="24">N63/(O63+1)</f>
        <v>570.15166242599742</v>
      </c>
      <c r="S63" s="142">
        <f>R63*Q63</f>
        <v>45.612132994079793</v>
      </c>
      <c r="T63" s="69">
        <f t="shared" ref="T63:T64" si="25">R63+S63</f>
        <v>615.76379542007726</v>
      </c>
      <c r="Y63" s="12" t="s">
        <v>192</v>
      </c>
      <c r="Z63" s="12">
        <f>SUM(Z60:Z62)</f>
        <v>2101.2944079170315</v>
      </c>
      <c r="AA63" s="12">
        <f>SUM(AA59:AA62)</f>
        <v>2350</v>
      </c>
      <c r="AB63" s="12">
        <f>AA63</f>
        <v>2350</v>
      </c>
    </row>
    <row r="64" spans="2:28">
      <c r="F64" s="12" t="s">
        <v>26</v>
      </c>
      <c r="G64" s="12" t="s">
        <v>156</v>
      </c>
      <c r="I64" s="12" t="str">
        <f>B29</f>
        <v>Arena 3</v>
      </c>
      <c r="J64" s="12">
        <f>$J$61*C34</f>
        <v>961.65580395851566</v>
      </c>
      <c r="K64" s="12" t="s">
        <v>95</v>
      </c>
      <c r="M64" s="68" t="str">
        <f t="shared" si="22"/>
        <v>Arena 3</v>
      </c>
      <c r="N64" s="11">
        <f>J64</f>
        <v>961.65580395851566</v>
      </c>
      <c r="O64" s="141">
        <f>E19</f>
        <v>1.2E-2</v>
      </c>
      <c r="P64" s="11">
        <f t="shared" si="23"/>
        <v>-11.403033248519948</v>
      </c>
      <c r="Q64" s="141">
        <f>E20</f>
        <v>0.06</v>
      </c>
      <c r="R64" s="142">
        <f t="shared" si="24"/>
        <v>950.25277070999573</v>
      </c>
      <c r="S64" s="142">
        <f t="shared" ref="S64" si="26">R64*Q64</f>
        <v>57.01516624259974</v>
      </c>
      <c r="T64" s="69">
        <f t="shared" si="25"/>
        <v>1007.2679369525955</v>
      </c>
    </row>
    <row r="65" spans="6:23">
      <c r="F65" s="12" t="s">
        <v>154</v>
      </c>
      <c r="G65" s="12" t="s">
        <v>156</v>
      </c>
      <c r="M65" s="68" t="s">
        <v>103</v>
      </c>
      <c r="N65" s="11">
        <f>J59+J60+J62+J63+J64</f>
        <v>2387.442991380417</v>
      </c>
      <c r="P65" s="11" t="s">
        <v>64</v>
      </c>
      <c r="R65" s="141"/>
      <c r="S65" s="142">
        <f>-S59</f>
        <v>0</v>
      </c>
      <c r="T65" s="69">
        <f>SUM(T59:T64)+T67</f>
        <v>2387.442991380417</v>
      </c>
    </row>
    <row r="66" spans="6:23">
      <c r="F66" s="12" t="s">
        <v>155</v>
      </c>
      <c r="G66" s="12" t="s">
        <v>156</v>
      </c>
      <c r="M66" s="68" t="s">
        <v>200</v>
      </c>
      <c r="N66" s="141">
        <f>C62*1</f>
        <v>0.01</v>
      </c>
      <c r="R66" s="141"/>
      <c r="S66" s="142"/>
      <c r="T66" s="145">
        <f>N66</f>
        <v>0.01</v>
      </c>
    </row>
    <row r="67" spans="6:23">
      <c r="M67" s="71" t="s">
        <v>226</v>
      </c>
      <c r="N67" s="146">
        <f>J60*D14</f>
        <v>0</v>
      </c>
      <c r="O67" s="35"/>
      <c r="P67" s="35"/>
      <c r="Q67" s="35"/>
      <c r="R67" s="72"/>
      <c r="S67" s="73"/>
      <c r="T67" s="147">
        <f>N67</f>
        <v>0</v>
      </c>
    </row>
    <row r="68" spans="6:23" ht="17" customHeight="1">
      <c r="F68" s="16" t="s">
        <v>160</v>
      </c>
      <c r="G68" s="12" t="s">
        <v>159</v>
      </c>
    </row>
    <row r="69" spans="6:23">
      <c r="F69" s="16" t="s">
        <v>161</v>
      </c>
      <c r="G69" s="12">
        <v>4</v>
      </c>
      <c r="I69" s="185" t="s">
        <v>179</v>
      </c>
      <c r="J69" s="166"/>
      <c r="K69" s="166"/>
      <c r="L69" s="166"/>
      <c r="M69" s="167"/>
      <c r="S69" s="185" t="s">
        <v>180</v>
      </c>
      <c r="T69" s="190"/>
      <c r="U69" s="190"/>
      <c r="V69" s="191"/>
    </row>
    <row r="70" spans="6:23" ht="34.049999999999997" customHeight="1">
      <c r="F70" s="16" t="s">
        <v>162</v>
      </c>
      <c r="G70" s="12">
        <v>4</v>
      </c>
      <c r="I70" s="13" t="s">
        <v>60</v>
      </c>
      <c r="J70" s="27" t="s">
        <v>117</v>
      </c>
      <c r="K70" s="13" t="s">
        <v>61</v>
      </c>
      <c r="L70" s="27" t="s">
        <v>62</v>
      </c>
      <c r="M70" s="27" t="s">
        <v>63</v>
      </c>
      <c r="N70" s="27" t="s">
        <v>118</v>
      </c>
      <c r="O70" s="27" t="s">
        <v>119</v>
      </c>
      <c r="P70" s="27" t="s">
        <v>120</v>
      </c>
      <c r="Q70" s="27" t="s">
        <v>121</v>
      </c>
      <c r="R70" s="74"/>
      <c r="S70" s="162" t="s">
        <v>117</v>
      </c>
      <c r="T70" s="162"/>
      <c r="U70" s="186" t="s">
        <v>66</v>
      </c>
      <c r="V70" s="187"/>
      <c r="W70" s="12" t="s">
        <v>108</v>
      </c>
    </row>
    <row r="71" spans="6:23">
      <c r="F71" s="16" t="s">
        <v>163</v>
      </c>
      <c r="G71" s="12">
        <v>4</v>
      </c>
      <c r="I71" s="13">
        <f t="shared" ref="I71:I80" si="27">I26</f>
        <v>80</v>
      </c>
      <c r="J71" s="28">
        <f t="shared" ref="J71:J80" si="28">IF($D$5&lt;=10, AD26,
 IF($D$5&lt;=20, AC26,
  IF($D$5&lt;=40, AB26,
   IF($D$5&lt;=80, AA26, ""))))</f>
        <v>1</v>
      </c>
      <c r="K71" s="13">
        <f t="shared" ref="K71:K85" si="29">I5</f>
        <v>75</v>
      </c>
      <c r="L71" s="28">
        <f t="shared" ref="L71:L85" si="30">V5</f>
        <v>1.0000000005709688</v>
      </c>
      <c r="M71" s="28" cm="1">
        <f t="array" ref="M71">IF(I71="","",
IF(I71&gt;=MAX($K$71:$K$86),INDEX($L$71:$L$86,1),
IF(I71&lt;=MIN($K$71:$K$86),INDEX($L$71:$L$86,ROWS($K$71:$K$86)),
INDEX($L$71:$L$86,MATCH(I71,$K$71:$K$86,-1))+
(INDEX($L$71:$L$86,MATCH(I71,$K$71:$K$86,-1)+1)-INDEX($L$71:$L$86,MATCH(I71,$K$71:$K$86,-1)))*
(LOG10(I71)-LOG10(INDEX($K$71:$K$86,MATCH(I71,$K$71:$K$86,-1))))/
(LOG10(INDEX($K$71:$K$86,MATCH(I71,$K$71:$K$86,-1)+1))-LOG10(INDEX($K$71:$K$86,MATCH(I71,$K$71:$K$86,-1))))
)
)
)</f>
        <v>1.0000000005709688</v>
      </c>
      <c r="N71" s="76">
        <f>1-L71</f>
        <v>-5.7096882777329938E-10</v>
      </c>
      <c r="O71" s="45">
        <f t="shared" ref="O71:O85" si="31">MAX(0,AG4-$D$13)</f>
        <v>0</v>
      </c>
      <c r="P71" s="93">
        <f t="shared" ref="P71:P85" si="32">MIN(O40,MAX(0,AH4+$D$13))</f>
        <v>0</v>
      </c>
      <c r="Q71" s="12">
        <f>IF(AND(ROUND(N71,5)&gt;=ROUND(P71,5), ROUND(N71,5)&lt;=ROUND(O71,5)),1,0)</f>
        <v>1</v>
      </c>
      <c r="R71" s="23"/>
      <c r="S71" s="183">
        <f>MIN(1,POWER(I71/
 CHOOSE(MATCH($D$5,{9.5;12.5;19;25;37.5;50;75},0),
   10,20,20,40,40,80,80),0.5))</f>
        <v>1</v>
      </c>
      <c r="T71" s="150"/>
      <c r="U71" s="188">
        <f t="shared" ref="U71:U80" si="33">M71</f>
        <v>1.0000000005709688</v>
      </c>
      <c r="V71" s="189"/>
      <c r="W71" s="77">
        <f>(S71-U71)^2</f>
        <v>3.2600540228881561E-19</v>
      </c>
    </row>
    <row r="72" spans="6:23">
      <c r="F72" s="16" t="s">
        <v>164</v>
      </c>
      <c r="G72" s="12">
        <v>4</v>
      </c>
      <c r="I72" s="13">
        <f t="shared" si="27"/>
        <v>40</v>
      </c>
      <c r="J72" s="28">
        <f t="shared" si="28"/>
        <v>1</v>
      </c>
      <c r="K72" s="13">
        <f t="shared" si="29"/>
        <v>63</v>
      </c>
      <c r="L72" s="28">
        <f t="shared" si="30"/>
        <v>1.0000000005709688</v>
      </c>
      <c r="M72" s="28" cm="1">
        <f t="array" ref="M72">IF(I72="","",
IF(I72&gt;=MAX($K$71:$K$86),INDEX($L$71:$L$86,1),
IF(I72&lt;=MIN($K$71:$K$86),INDEX($L$71:$L$86,ROWS($K$71:$K$86)),
INDEX($L$71:$L$86,MATCH(I72,$K$71:$K$86,-1))+
(INDEX($L$71:$L$86,MATCH(I72,$K$71:$K$86,-1)+1)-INDEX($L$71:$L$86,MATCH(I72,$K$71:$K$86,-1)))*
(LOG10(I72)-LOG10(INDEX($K$71:$K$86,MATCH(I72,$K$71:$K$86,-1))))/
(LOG10(INDEX($K$71:$K$86,MATCH(I72,$K$71:$K$86,-1)+1))-LOG10(INDEX($K$71:$K$86,MATCH(I72,$K$71:$K$86,-1))))
)
)
)</f>
        <v>0.99106536397937739</v>
      </c>
      <c r="N72" s="76">
        <f>L71-L72</f>
        <v>0</v>
      </c>
      <c r="O72" s="45">
        <f t="shared" si="31"/>
        <v>0</v>
      </c>
      <c r="P72" s="93">
        <f t="shared" si="32"/>
        <v>0</v>
      </c>
      <c r="Q72" s="12">
        <f t="shared" ref="Q72:Q85" si="34">IF(AND(ROUND(N72,5)&gt;=ROUND(P72,5), ROUND(N72,5)&lt;=ROUND(O72,5)),1,0)</f>
        <v>1</v>
      </c>
      <c r="R72" s="23"/>
      <c r="S72" s="183">
        <f>MIN(1,POWER(I72/
 CHOOSE(MATCH($D$5,{9.5;12.5;19;25;37.5;50;75},0),
   10,20,20,40,40,80,80),0.5))</f>
        <v>1</v>
      </c>
      <c r="T72" s="150"/>
      <c r="U72" s="188">
        <f t="shared" si="33"/>
        <v>0.99106536397937739</v>
      </c>
      <c r="V72" s="189"/>
      <c r="W72" s="77">
        <f t="shared" ref="W72:W80" si="35">(S72-U72)^2</f>
        <v>7.9827720821007043E-5</v>
      </c>
    </row>
    <row r="73" spans="6:23">
      <c r="F73" s="16" t="s">
        <v>17</v>
      </c>
      <c r="G73" s="12">
        <v>4</v>
      </c>
      <c r="I73" s="13">
        <f t="shared" si="27"/>
        <v>20</v>
      </c>
      <c r="J73" s="28">
        <f t="shared" si="28"/>
        <v>1</v>
      </c>
      <c r="K73" s="13">
        <f t="shared" si="29"/>
        <v>50</v>
      </c>
      <c r="L73" s="28">
        <f t="shared" si="30"/>
        <v>1.0000000005709688</v>
      </c>
      <c r="M73" s="28" cm="1">
        <f t="array" ref="M73">IF(I73="","",
IF(I73&gt;=MAX($K$71:$K$86),INDEX($L$71:$L$86,1),
IF(I73&lt;=MIN($K$71:$K$86),INDEX($L$71:$L$86,ROWS($K$71:$K$86)),
INDEX($L$71:$L$86,MATCH(I73,$K$71:$K$86,-1))+
(INDEX($L$71:$L$86,MATCH(I73,$K$71:$K$86,-1)+1)-INDEX($L$71:$L$86,MATCH(I73,$K$71:$K$86,-1)))*
(LOG10(I73)-LOG10(INDEX($K$71:$K$86,MATCH(I73,$K$71:$K$86,-1))))/
(LOG10(INDEX($K$71:$K$86,MATCH(I73,$K$71:$K$86,-1)+1))-LOG10(INDEX($K$71:$K$86,MATCH(I73,$K$71:$K$86,-1))))
)
)
)</f>
        <v>0.84038654474613583</v>
      </c>
      <c r="N73" s="76">
        <f t="shared" ref="N73:N85" si="36">L72-L73</f>
        <v>0</v>
      </c>
      <c r="O73" s="45">
        <f t="shared" si="31"/>
        <v>0</v>
      </c>
      <c r="P73" s="93">
        <f t="shared" si="32"/>
        <v>0</v>
      </c>
      <c r="Q73" s="12">
        <f t="shared" si="34"/>
        <v>1</v>
      </c>
      <c r="R73" s="23"/>
      <c r="S73" s="183">
        <f>MIN(1,POWER(I73/
 CHOOSE(MATCH($D$5,{9.5;12.5;19;25;37.5;50;75},0),
   10,20,20,40,40,80,80),0.5))</f>
        <v>1</v>
      </c>
      <c r="T73" s="150"/>
      <c r="U73" s="188">
        <f t="shared" si="33"/>
        <v>0.84038654474613583</v>
      </c>
      <c r="V73" s="189"/>
      <c r="W73" s="77">
        <f t="shared" si="35"/>
        <v>2.5476455098077298E-2</v>
      </c>
    </row>
    <row r="74" spans="6:23">
      <c r="I74" s="13">
        <f t="shared" si="27"/>
        <v>10</v>
      </c>
      <c r="J74" s="28">
        <f t="shared" si="28"/>
        <v>1</v>
      </c>
      <c r="K74" s="13">
        <f t="shared" si="29"/>
        <v>37.5</v>
      </c>
      <c r="L74" s="28">
        <f t="shared" si="30"/>
        <v>0.9884812506177012</v>
      </c>
      <c r="M74" s="28" cm="1">
        <f t="array" ref="M74">IF(I74="","",
IF(I74&gt;=MAX($K$71:$K$86),INDEX($L$71:$L$86,1),
IF(I74&lt;=MIN($K$71:$K$86),INDEX($L$71:$L$86,ROWS($K$71:$K$86)),
INDEX($L$71:$L$86,MATCH(I74,$K$71:$K$86,-1))+
(INDEX($L$71:$L$86,MATCH(I74,$K$71:$K$86,-1)+1)-INDEX($L$71:$L$86,MATCH(I74,$K$71:$K$86,-1)))*
(LOG10(I74)-LOG10(INDEX($K$71:$K$86,MATCH(I74,$K$71:$K$86,-1))))/
(LOG10(INDEX($K$71:$K$86,MATCH(I74,$K$71:$K$86,-1)+1))-LOG10(INDEX($K$71:$K$86,MATCH(I74,$K$71:$K$86,-1))))
)
)
)</f>
        <v>0.6672728560943253</v>
      </c>
      <c r="N74" s="76">
        <f t="shared" si="36"/>
        <v>1.1518749953267626E-2</v>
      </c>
      <c r="O74" s="45">
        <f t="shared" si="31"/>
        <v>2.5000000000000001E-2</v>
      </c>
      <c r="P74" s="93">
        <f t="shared" si="32"/>
        <v>0</v>
      </c>
      <c r="Q74" s="12">
        <f t="shared" si="34"/>
        <v>1</v>
      </c>
      <c r="R74" s="23"/>
      <c r="S74" s="183">
        <f>MIN(1,POWER(I74/
 CHOOSE(MATCH($D$5,{9.5;12.5;19;25;37.5;50;75},0),
   10,20,20,40,40,80,80),0.5))</f>
        <v>1</v>
      </c>
      <c r="T74" s="150"/>
      <c r="U74" s="188">
        <f t="shared" si="33"/>
        <v>0.6672728560943253</v>
      </c>
      <c r="V74" s="189"/>
      <c r="W74" s="77">
        <f t="shared" si="35"/>
        <v>0.11070735229162756</v>
      </c>
    </row>
    <row r="75" spans="6:23">
      <c r="I75" s="13">
        <f t="shared" si="27"/>
        <v>5</v>
      </c>
      <c r="J75" s="28">
        <f t="shared" si="28"/>
        <v>0.63</v>
      </c>
      <c r="K75" s="13">
        <f t="shared" si="29"/>
        <v>25</v>
      </c>
      <c r="L75" s="28">
        <f t="shared" si="30"/>
        <v>0.92704791753360705</v>
      </c>
      <c r="M75" s="28" cm="1">
        <f t="array" ref="M75">IF(I75="","",
IF(I75&gt;=MAX($K$71:$K$86),INDEX($L$71:$L$86,1),
IF(I75&lt;=MIN($K$71:$K$86),INDEX($L$71:$L$86,ROWS($K$71:$K$86)),
INDEX($L$71:$L$86,MATCH(I75,$K$71:$K$86,-1))+
(INDEX($L$71:$L$86,MATCH(I75,$K$71:$K$86,-1)+1)-INDEX($L$71:$L$86,MATCH(I75,$K$71:$K$86,-1)))*
(LOG10(I75)-LOG10(INDEX($K$71:$K$86,MATCH(I75,$K$71:$K$86,-1))))/
(LOG10(INDEX($K$71:$K$86,MATCH(I75,$K$71:$K$86,-1)+1))-LOG10(INDEX($K$71:$K$86,MATCH(I75,$K$71:$K$86,-1))))
)
)
)</f>
        <v>0.41842435165045022</v>
      </c>
      <c r="N75" s="76">
        <f t="shared" si="36"/>
        <v>6.1433333084094155E-2</v>
      </c>
      <c r="O75" s="45">
        <f t="shared" si="31"/>
        <v>0.15</v>
      </c>
      <c r="P75" s="93">
        <f t="shared" si="32"/>
        <v>0</v>
      </c>
      <c r="Q75" s="12">
        <f t="shared" si="34"/>
        <v>1</v>
      </c>
      <c r="R75" s="23"/>
      <c r="S75" s="183">
        <f>MIN(1,POWER(I75/
 CHOOSE(MATCH($D$5,{9.5;12.5;19;25;37.5;50;75},0),
   10,20,20,40,40,80,80),0.5))</f>
        <v>0.70710678118654757</v>
      </c>
      <c r="T75" s="150"/>
      <c r="U75" s="188">
        <f t="shared" si="33"/>
        <v>0.41842435165045022</v>
      </c>
      <c r="V75" s="189"/>
      <c r="W75" s="77">
        <f t="shared" si="35"/>
        <v>8.3337545122863815E-2</v>
      </c>
    </row>
    <row r="76" spans="6:23">
      <c r="I76" s="13">
        <f t="shared" si="27"/>
        <v>2.5</v>
      </c>
      <c r="J76" s="28">
        <f t="shared" si="28"/>
        <v>0.49000000000000005</v>
      </c>
      <c r="K76" s="13">
        <f t="shared" si="29"/>
        <v>19</v>
      </c>
      <c r="L76" s="28">
        <f t="shared" si="30"/>
        <v>0.82046597218090933</v>
      </c>
      <c r="M76" s="28" cm="1">
        <f t="array" ref="M76">IF(I76="","",
IF(I76&gt;=MAX($K$71:$K$86),INDEX($L$71:$L$86,1),
IF(I76&lt;=MIN($K$71:$K$86),INDEX($L$71:$L$86,ROWS($K$71:$K$86)),
INDEX($L$71:$L$86,MATCH(I76,$K$71:$K$86,-1))+
(INDEX($L$71:$L$86,MATCH(I76,$K$71:$K$86,-1)+1)-INDEX($L$71:$L$86,MATCH(I76,$K$71:$K$86,-1)))*
(LOG10(I76)-LOG10(INDEX($K$71:$K$86,MATCH(I76,$K$71:$K$86,-1))))/
(LOG10(INDEX($K$71:$K$86,MATCH(I76,$K$71:$K$86,-1)+1))-LOG10(INDEX($K$71:$K$86,MATCH(I76,$K$71:$K$86,-1))))
)
)
)</f>
        <v>0.29407652662531969</v>
      </c>
      <c r="N76" s="76">
        <f t="shared" si="36"/>
        <v>0.10658194535269772</v>
      </c>
      <c r="O76" s="45">
        <f t="shared" si="31"/>
        <v>0.2</v>
      </c>
      <c r="P76" s="93">
        <f t="shared" si="32"/>
        <v>0</v>
      </c>
      <c r="Q76" s="12">
        <f t="shared" si="34"/>
        <v>1</v>
      </c>
      <c r="R76" s="23"/>
      <c r="S76" s="183">
        <f>MIN(1,POWER(I76/
 CHOOSE(MATCH($D$5,{9.5;12.5;19;25;37.5;50;75},0),
   10,20,20,40,40,80,80),0.5))</f>
        <v>0.5</v>
      </c>
      <c r="T76" s="150"/>
      <c r="U76" s="188">
        <f t="shared" si="33"/>
        <v>0.29407652662531969</v>
      </c>
      <c r="V76" s="189"/>
      <c r="W76" s="77">
        <f t="shared" si="35"/>
        <v>4.2404476886692674E-2</v>
      </c>
    </row>
    <row r="77" spans="6:23">
      <c r="I77" s="13">
        <f t="shared" si="27"/>
        <v>1.25</v>
      </c>
      <c r="J77" s="28">
        <f t="shared" si="28"/>
        <v>0.38</v>
      </c>
      <c r="K77" s="13">
        <f t="shared" si="29"/>
        <v>12.5</v>
      </c>
      <c r="L77" s="28">
        <f t="shared" si="30"/>
        <v>0.70792360214174754</v>
      </c>
      <c r="M77" s="28" cm="1">
        <f t="array" ref="M77">IF(I77="","",
IF(I77&gt;=MAX($K$71:$K$86),INDEX($L$71:$L$86,1),
IF(I77&lt;=MIN($K$71:$K$86),INDEX($L$71:$L$86,ROWS($K$71:$K$86)),
INDEX($L$71:$L$86,MATCH(I77,$K$71:$K$86,-1))+
(INDEX($L$71:$L$86,MATCH(I77,$K$71:$K$86,-1)+1)-INDEX($L$71:$L$86,MATCH(I77,$K$71:$K$86,-1)))*
(LOG10(I77)-LOG10(INDEX($K$71:$K$86,MATCH(I77,$K$71:$K$86,-1))))/
(LOG10(INDEX($K$71:$K$86,MATCH(I77,$K$71:$K$86,-1)+1))-LOG10(INDEX($K$71:$K$86,MATCH(I77,$K$71:$K$86,-1))))
)
)
)</f>
        <v>0.20470607891156764</v>
      </c>
      <c r="N77" s="76">
        <f t="shared" si="36"/>
        <v>0.11254237003916179</v>
      </c>
      <c r="O77" s="45">
        <f t="shared" si="31"/>
        <v>0.2</v>
      </c>
      <c r="P77" s="93">
        <f t="shared" si="32"/>
        <v>0.05</v>
      </c>
      <c r="Q77" s="12">
        <f t="shared" si="34"/>
        <v>1</v>
      </c>
      <c r="R77" s="23"/>
      <c r="S77" s="183">
        <f>MIN(1,POWER(I77/
 CHOOSE(MATCH($D$5,{9.5;12.5;19;25;37.5;50;75},0),
   10,20,20,40,40,80,80),0.5))</f>
        <v>0.35355339059327379</v>
      </c>
      <c r="T77" s="150"/>
      <c r="U77" s="188">
        <f t="shared" si="33"/>
        <v>0.20470607891156764</v>
      </c>
      <c r="V77" s="189"/>
      <c r="W77" s="77">
        <f t="shared" si="35"/>
        <v>2.2155522194870974E-2</v>
      </c>
    </row>
    <row r="78" spans="6:23">
      <c r="I78" s="13">
        <f t="shared" si="27"/>
        <v>0.63</v>
      </c>
      <c r="J78" s="28">
        <f t="shared" si="28"/>
        <v>0.20750000000000002</v>
      </c>
      <c r="K78" s="13">
        <f t="shared" si="29"/>
        <v>9.5</v>
      </c>
      <c r="L78" s="28">
        <f t="shared" si="30"/>
        <v>0.65792859912698887</v>
      </c>
      <c r="M78" s="28" cm="1">
        <f t="array" ref="M78">IF(I78="","",
IF(I78&gt;=MAX($K$71:$K$86),INDEX($L$71:$L$86,1),
IF(I78&lt;=MIN($K$71:$K$86),INDEX($L$71:$L$86,ROWS($K$71:$K$86)),
INDEX($L$71:$L$86,MATCH(I78,$K$71:$K$86,-1))+
(INDEX($L$71:$L$86,MATCH(I78,$K$71:$K$86,-1)+1)-INDEX($L$71:$L$86,MATCH(I78,$K$71:$K$86,-1)))*
(LOG10(I78)-LOG10(INDEX($K$71:$K$86,MATCH(I78,$K$71:$K$86,-1))))/
(LOG10(INDEX($K$71:$K$86,MATCH(I78,$K$71:$K$86,-1)+1))-LOG10(INDEX($K$71:$K$86,MATCH(I78,$K$71:$K$86,-1))))
)
)
)</f>
        <v>0.14435453658882202</v>
      </c>
      <c r="N78" s="76">
        <f t="shared" si="36"/>
        <v>4.9995003014758677E-2</v>
      </c>
      <c r="O78" s="45">
        <f t="shared" si="31"/>
        <v>0.2</v>
      </c>
      <c r="P78" s="93">
        <f t="shared" si="32"/>
        <v>0.05</v>
      </c>
      <c r="Q78" s="12">
        <f t="shared" si="34"/>
        <v>1</v>
      </c>
      <c r="R78" s="23"/>
      <c r="S78" s="183">
        <f>MIN(1,POWER(I78/
 CHOOSE(MATCH($D$5,{9.5;12.5;19;25;37.5;50;75},0),
   10,20,20,40,40,80,80),0.5))</f>
        <v>0.25099800796022265</v>
      </c>
      <c r="T78" s="150"/>
      <c r="U78" s="188">
        <f t="shared" si="33"/>
        <v>0.14435453658882202</v>
      </c>
      <c r="V78" s="189"/>
      <c r="W78" s="77">
        <f t="shared" si="35"/>
        <v>1.1372829986142745E-2</v>
      </c>
    </row>
    <row r="79" spans="6:23">
      <c r="I79" s="13">
        <f t="shared" si="27"/>
        <v>0.315</v>
      </c>
      <c r="J79" s="28">
        <f t="shared" si="28"/>
        <v>0.11</v>
      </c>
      <c r="K79" s="13">
        <f t="shared" si="29"/>
        <v>6.3</v>
      </c>
      <c r="L79" s="28">
        <f t="shared" si="30"/>
        <v>0.55633442625219165</v>
      </c>
      <c r="M79" s="28" cm="1">
        <f t="array" ref="M79">IF(I79="","",
IF(I79&gt;=MAX($K$71:$K$86),INDEX($L$71:$L$86,1),
IF(I79&lt;=MIN($K$71:$K$86),INDEX($L$71:$L$86,ROWS($K$71:$K$86)),
INDEX($L$71:$L$86,MATCH(I79,$K$71:$K$86,-1))+
(INDEX($L$71:$L$86,MATCH(I79,$K$71:$K$86,-1)+1)-INDEX($L$71:$L$86,MATCH(I79,$K$71:$K$86,-1)))*
(LOG10(I79)-LOG10(INDEX($K$71:$K$86,MATCH(I79,$K$71:$K$86,-1))))/
(LOG10(INDEX($K$71:$K$86,MATCH(I79,$K$71:$K$86,-1)+1))-LOG10(INDEX($K$71:$K$86,MATCH(I79,$K$71:$K$86,-1))))
)
)
)</f>
        <v>5.8153212542540689E-2</v>
      </c>
      <c r="N79" s="76">
        <f t="shared" si="36"/>
        <v>0.10159417287479722</v>
      </c>
      <c r="O79" s="45">
        <f t="shared" si="31"/>
        <v>0.2</v>
      </c>
      <c r="P79" s="93">
        <f t="shared" si="32"/>
        <v>0.05</v>
      </c>
      <c r="Q79" s="12">
        <f t="shared" si="34"/>
        <v>1</v>
      </c>
      <c r="R79" s="23"/>
      <c r="S79" s="183">
        <f>MIN(1,POWER(I79/
 CHOOSE(MATCH($D$5,{9.5;12.5;19;25;37.5;50;75},0),
   10,20,20,40,40,80,80),0.5))</f>
        <v>0.17748239349298847</v>
      </c>
      <c r="T79" s="150"/>
      <c r="U79" s="188">
        <f t="shared" si="33"/>
        <v>5.8153212542540689E-2</v>
      </c>
      <c r="V79" s="189"/>
      <c r="W79" s="77">
        <f t="shared" si="35"/>
        <v>1.4239453426304709E-2</v>
      </c>
    </row>
    <row r="80" spans="6:23">
      <c r="I80" s="13">
        <f t="shared" si="27"/>
        <v>0.16</v>
      </c>
      <c r="J80" s="28">
        <f t="shared" si="28"/>
        <v>0.05</v>
      </c>
      <c r="K80" s="13">
        <f t="shared" si="29"/>
        <v>4.75</v>
      </c>
      <c r="L80" s="28">
        <f t="shared" si="30"/>
        <v>0.38781637544712794</v>
      </c>
      <c r="M80" s="28" cm="1">
        <f t="array" ref="M80">IF(I80="","",
IF(I80&gt;=MAX($K$71:$K$86),INDEX($L$71:$L$86,1),
IF(I80&lt;=MIN($K$71:$K$86),INDEX($L$71:$L$86,ROWS($K$71:$K$86)),
INDEX($L$71:$L$86,MATCH(I80,$K$71:$K$86,-1))+
(INDEX($L$71:$L$86,MATCH(I80,$K$71:$K$86,-1)+1)-INDEX($L$71:$L$86,MATCH(I80,$K$71:$K$86,-1)))*
(LOG10(I80)-LOG10(INDEX($K$71:$K$86,MATCH(I80,$K$71:$K$86,-1))))/
(LOG10(INDEX($K$71:$K$86,MATCH(I80,$K$71:$K$86,-1)+1))-LOG10(INDEX($K$71:$K$86,MATCH(I80,$K$71:$K$86,-1))))
)
)
)</f>
        <v>2.3676837280305556E-2</v>
      </c>
      <c r="N80" s="76">
        <f t="shared" si="36"/>
        <v>0.16851805080506371</v>
      </c>
      <c r="O80" s="45">
        <f t="shared" si="31"/>
        <v>0.2</v>
      </c>
      <c r="P80" s="93">
        <f t="shared" si="32"/>
        <v>0.05</v>
      </c>
      <c r="Q80" s="12">
        <f t="shared" si="34"/>
        <v>1</v>
      </c>
      <c r="R80" s="23"/>
      <c r="S80" s="183">
        <f>MIN(1,POWER(I80/
 CHOOSE(MATCH($D$5,{9.5;12.5;19;25;37.5;50;75},0),
   10,20,20,40,40,80,80),0.5))</f>
        <v>0.12649110640673517</v>
      </c>
      <c r="T80" s="150"/>
      <c r="U80" s="188">
        <f t="shared" si="33"/>
        <v>2.3676837280305556E-2</v>
      </c>
      <c r="V80" s="189"/>
      <c r="W80" s="77">
        <f t="shared" si="35"/>
        <v>1.0570773936001896E-2</v>
      </c>
    </row>
    <row r="81" spans="9:28">
      <c r="I81" s="13"/>
      <c r="J81" s="28"/>
      <c r="K81" s="13">
        <f t="shared" si="29"/>
        <v>2.36</v>
      </c>
      <c r="L81" s="28">
        <f t="shared" si="30"/>
        <v>0.28566005608362655</v>
      </c>
      <c r="M81" s="13"/>
      <c r="N81" s="76">
        <f t="shared" si="36"/>
        <v>0.10215631936350139</v>
      </c>
      <c r="O81" s="45">
        <f t="shared" si="31"/>
        <v>0.125</v>
      </c>
      <c r="P81" s="93">
        <f t="shared" si="32"/>
        <v>0</v>
      </c>
      <c r="Q81" s="12">
        <f t="shared" si="34"/>
        <v>1</v>
      </c>
      <c r="R81" s="23"/>
      <c r="U81" s="17"/>
      <c r="V81" s="17"/>
    </row>
    <row r="82" spans="9:28">
      <c r="I82" s="13"/>
      <c r="J82" s="28"/>
      <c r="K82" s="13">
        <f t="shared" si="29"/>
        <v>1.18</v>
      </c>
      <c r="L82" s="28">
        <f t="shared" si="30"/>
        <v>0.1973651296577783</v>
      </c>
      <c r="M82" s="13"/>
      <c r="N82" s="76">
        <f t="shared" si="36"/>
        <v>8.8294926425848241E-2</v>
      </c>
      <c r="O82" s="45">
        <f t="shared" si="31"/>
        <v>0.125</v>
      </c>
      <c r="P82" s="93">
        <f t="shared" si="32"/>
        <v>0</v>
      </c>
      <c r="Q82" s="12">
        <f t="shared" si="34"/>
        <v>1</v>
      </c>
      <c r="R82" s="23"/>
      <c r="S82" s="150" t="s">
        <v>68</v>
      </c>
      <c r="T82" s="150"/>
      <c r="U82" s="17"/>
      <c r="V82" s="16" t="s">
        <v>186</v>
      </c>
    </row>
    <row r="83" spans="9:28">
      <c r="I83" s="13"/>
      <c r="J83" s="28"/>
      <c r="K83" s="13">
        <f t="shared" si="29"/>
        <v>0.6</v>
      </c>
      <c r="L83" s="28">
        <f t="shared" si="30"/>
        <v>0.14023311844105299</v>
      </c>
      <c r="M83" s="13"/>
      <c r="N83" s="76">
        <f t="shared" si="36"/>
        <v>5.7132011216725315E-2</v>
      </c>
      <c r="O83" s="45">
        <f t="shared" si="31"/>
        <v>0.2</v>
      </c>
      <c r="P83" s="93">
        <f t="shared" si="32"/>
        <v>0.05</v>
      </c>
      <c r="Q83" s="12">
        <f t="shared" si="34"/>
        <v>1</v>
      </c>
      <c r="R83" s="23"/>
      <c r="S83" s="199">
        <f>SUM(W71:W80)</f>
        <v>0.32034423666340273</v>
      </c>
      <c r="T83" s="199"/>
      <c r="U83" s="17"/>
      <c r="V83" s="103">
        <f>MIN($S$83)</f>
        <v>0.32034423666340273</v>
      </c>
    </row>
    <row r="84" spans="9:28">
      <c r="I84" s="13"/>
      <c r="J84" s="28"/>
      <c r="K84" s="13">
        <f t="shared" si="29"/>
        <v>0.3</v>
      </c>
      <c r="L84" s="28">
        <f t="shared" si="30"/>
        <v>5.1938192015204776E-2</v>
      </c>
      <c r="M84" s="13"/>
      <c r="N84" s="76">
        <f t="shared" si="36"/>
        <v>8.8294926425848214E-2</v>
      </c>
      <c r="O84" s="45">
        <f t="shared" si="31"/>
        <v>0.2</v>
      </c>
      <c r="P84" s="93">
        <f t="shared" si="32"/>
        <v>0.05</v>
      </c>
      <c r="Q84" s="12">
        <f t="shared" si="34"/>
        <v>1</v>
      </c>
      <c r="R84" s="23"/>
      <c r="U84" s="17"/>
      <c r="V84" s="16">
        <f>COUNT($E$32:$E$34)</f>
        <v>3</v>
      </c>
    </row>
    <row r="85" spans="9:28">
      <c r="I85" s="13"/>
      <c r="J85" s="13"/>
      <c r="K85" s="13">
        <f t="shared" si="29"/>
        <v>0.15</v>
      </c>
      <c r="L85" s="28">
        <f t="shared" si="30"/>
        <v>2.0775276806081881E-2</v>
      </c>
      <c r="M85" s="13"/>
      <c r="N85" s="76">
        <f t="shared" si="36"/>
        <v>3.1162915209122895E-2</v>
      </c>
      <c r="O85" s="45">
        <f t="shared" si="31"/>
        <v>0.1</v>
      </c>
      <c r="P85" s="93">
        <f t="shared" si="32"/>
        <v>0</v>
      </c>
      <c r="Q85" s="12">
        <f t="shared" si="34"/>
        <v>1</v>
      </c>
      <c r="R85" s="23"/>
      <c r="U85" s="17"/>
      <c r="V85" s="16" t="b">
        <f>$E$36=$E$35</f>
        <v>0</v>
      </c>
    </row>
    <row r="86" spans="9:28">
      <c r="V86" s="12" t="b">
        <f t="array" ref="V86">$Q$71:$Q$85=1</f>
        <v>1</v>
      </c>
    </row>
    <row r="87" spans="9:28">
      <c r="V87" s="12">
        <f>{32767;32767;0.000001;1;FALSE;FALSE;TRUE;1;1;1;"""""""""""""""""""""""""""""""0,0001""""""""""""""""""""""""""""""";TRUE}</f>
        <v>32767</v>
      </c>
    </row>
    <row r="88" spans="9:28">
      <c r="I88" s="185" t="s">
        <v>181</v>
      </c>
      <c r="J88" s="166"/>
      <c r="K88" s="167"/>
      <c r="M88" s="185" t="s">
        <v>182</v>
      </c>
      <c r="N88" s="190"/>
      <c r="O88" s="190"/>
      <c r="P88" s="190"/>
      <c r="Q88" s="190"/>
      <c r="R88" s="190"/>
      <c r="S88" s="190"/>
      <c r="T88" s="191"/>
      <c r="V88" s="12">
        <f>{0;0;0;100;0;FALSE;TRUE;"""""""""""""""""""""""""""""""0,075""""""""""""""""""""""""""""""";0;0;FALSE;30}</f>
        <v>0</v>
      </c>
    </row>
    <row r="89" spans="9:28" ht="31.5">
      <c r="I89" s="12" t="s">
        <v>92</v>
      </c>
      <c r="J89" s="109">
        <f>((J91*(1))/F22)+(J90/1000) +((J92*E32)/C22)+((J92*E33)/D22)+((J92*E34)/E22)+C62+((J91*D14)/G22)</f>
        <v>1</v>
      </c>
      <c r="K89" s="12" t="s">
        <v>93</v>
      </c>
      <c r="M89" s="90" t="s">
        <v>97</v>
      </c>
      <c r="N89" s="110" t="s">
        <v>98</v>
      </c>
      <c r="O89" s="110" t="s">
        <v>104</v>
      </c>
      <c r="P89" s="110" t="s">
        <v>99</v>
      </c>
      <c r="Q89" s="110" t="s">
        <v>105</v>
      </c>
      <c r="R89" s="110" t="s">
        <v>106</v>
      </c>
      <c r="S89" s="110" t="s">
        <v>109</v>
      </c>
      <c r="T89" s="110" t="s">
        <v>107</v>
      </c>
      <c r="U89" s="17"/>
      <c r="V89" s="17"/>
      <c r="Y89" s="180" t="s">
        <v>197</v>
      </c>
      <c r="Z89" s="150"/>
      <c r="AA89" s="150"/>
      <c r="AB89" s="150"/>
    </row>
    <row r="90" spans="9:28">
      <c r="I90" s="12" t="s">
        <v>94</v>
      </c>
      <c r="J90" s="12">
        <f>C60*0.593276</f>
        <v>177.9828</v>
      </c>
      <c r="K90" s="12" t="s">
        <v>95</v>
      </c>
      <c r="M90" s="66" t="s">
        <v>100</v>
      </c>
      <c r="N90" s="36">
        <f>J91*(1)</f>
        <v>286.14858346338553</v>
      </c>
      <c r="O90" s="36"/>
      <c r="P90" s="36" t="s">
        <v>64</v>
      </c>
      <c r="Q90" s="36"/>
      <c r="R90" s="36"/>
      <c r="S90" s="37"/>
      <c r="T90" s="67">
        <f>N90</f>
        <v>286.14858346338553</v>
      </c>
      <c r="V90" s="12" t="s">
        <v>187</v>
      </c>
      <c r="W90" s="12">
        <f>T96</f>
        <v>2387.2553824779552</v>
      </c>
      <c r="Y90" s="12"/>
      <c r="Z90" s="12" t="s">
        <v>193</v>
      </c>
      <c r="AA90" s="12" t="s">
        <v>194</v>
      </c>
      <c r="AB90" s="12" t="s">
        <v>195</v>
      </c>
    </row>
    <row r="91" spans="9:28">
      <c r="I91" s="12" t="s">
        <v>90</v>
      </c>
      <c r="J91" s="12">
        <f>J60</f>
        <v>286.14858346338553</v>
      </c>
      <c r="K91" s="12" t="s">
        <v>95</v>
      </c>
      <c r="M91" s="68" t="s">
        <v>101</v>
      </c>
      <c r="N91" s="11">
        <f>J90</f>
        <v>177.9828</v>
      </c>
      <c r="P91" s="11" t="s">
        <v>64</v>
      </c>
      <c r="Q91" s="11">
        <f>P92+N91</f>
        <v>201.1467819432749</v>
      </c>
      <c r="S91" s="11">
        <f>-P92</f>
        <v>-23.163981943274898</v>
      </c>
      <c r="T91" s="69">
        <f>Q91+S92</f>
        <v>83.468288745341297</v>
      </c>
      <c r="V91" s="12" t="s">
        <v>196</v>
      </c>
      <c r="W91" s="12">
        <f>2350</f>
        <v>2350</v>
      </c>
      <c r="Y91" s="12" t="s">
        <v>100</v>
      </c>
      <c r="Z91" s="12">
        <f>T90</f>
        <v>286.14858346338553</v>
      </c>
      <c r="AA91" s="12">
        <f>Z91*$W$92</f>
        <v>281.68296365550896</v>
      </c>
      <c r="AB91" s="12">
        <f>Z91</f>
        <v>286.14858346338553</v>
      </c>
    </row>
    <row r="92" spans="9:28">
      <c r="I92" s="62" t="s">
        <v>96</v>
      </c>
      <c r="J92" s="62">
        <v>1923.1239979165257</v>
      </c>
      <c r="K92" s="62" t="s">
        <v>95</v>
      </c>
      <c r="M92" s="68" t="s">
        <v>102</v>
      </c>
      <c r="N92" s="11" t="s">
        <v>64</v>
      </c>
      <c r="P92" s="144">
        <f>-SUM(P93:P96)</f>
        <v>23.163981943274898</v>
      </c>
      <c r="Q92" s="144"/>
      <c r="R92" s="144"/>
      <c r="S92" s="142">
        <f>-SUM(S93:S95)</f>
        <v>-117.67849319793361</v>
      </c>
      <c r="T92" s="70"/>
      <c r="V92" s="12" t="s">
        <v>189</v>
      </c>
      <c r="W92" s="12">
        <f>W91/W90</f>
        <v>0.98439405237018074</v>
      </c>
      <c r="Y92" s="12" t="s">
        <v>226</v>
      </c>
      <c r="Z92" s="12">
        <f>T98</f>
        <v>0</v>
      </c>
      <c r="AA92" s="12">
        <f>Z92*W92</f>
        <v>0</v>
      </c>
      <c r="AB92" s="12">
        <f>Z92</f>
        <v>0</v>
      </c>
    </row>
    <row r="93" spans="9:28">
      <c r="I93" s="12" t="str">
        <f>I62</f>
        <v>Grava 1</v>
      </c>
      <c r="J93" s="12">
        <f>$J$92*E32</f>
        <v>369.19974101881496</v>
      </c>
      <c r="K93" s="12" t="s">
        <v>95</v>
      </c>
      <c r="M93" s="68" t="str">
        <f>I93</f>
        <v>Grava 1</v>
      </c>
      <c r="N93" s="11">
        <f>J93</f>
        <v>369.19974101881496</v>
      </c>
      <c r="O93" s="141">
        <f>O62</f>
        <v>1.2999999999999999E-2</v>
      </c>
      <c r="P93" s="11">
        <f>-(N93*O93)/(O93+1)</f>
        <v>-4.7380025994517219</v>
      </c>
      <c r="Q93" s="141">
        <f>Q62</f>
        <v>0.04</v>
      </c>
      <c r="R93" s="142">
        <f>N93/(O93+1)</f>
        <v>364.46173841936326</v>
      </c>
      <c r="S93" s="142">
        <f>R93*Q93</f>
        <v>14.578469536774531</v>
      </c>
      <c r="T93" s="69">
        <f>R93+S93</f>
        <v>379.04020795613781</v>
      </c>
      <c r="Y93" s="12" t="s">
        <v>190</v>
      </c>
      <c r="Z93" s="104">
        <f>T91</f>
        <v>83.468288745341297</v>
      </c>
      <c r="AA93" s="12">
        <f t="shared" ref="AA93:AA94" si="37">Z93*$W$92</f>
        <v>82.165687002430872</v>
      </c>
      <c r="AB93" s="104">
        <f>Z93</f>
        <v>83.468288745341297</v>
      </c>
    </row>
    <row r="94" spans="9:28">
      <c r="I94" s="12" t="str">
        <f>I63</f>
        <v>Gravilla 2</v>
      </c>
      <c r="J94" s="12">
        <f>$J$92*E33</f>
        <v>555.08842326738568</v>
      </c>
      <c r="K94" s="12" t="s">
        <v>95</v>
      </c>
      <c r="M94" s="68" t="str">
        <f t="shared" ref="M94:M95" si="38">I94</f>
        <v>Gravilla 2</v>
      </c>
      <c r="N94" s="11">
        <f>J94</f>
        <v>555.08842326738568</v>
      </c>
      <c r="O94" s="141">
        <f>O63</f>
        <v>1.2E-2</v>
      </c>
      <c r="P94" s="11">
        <f t="shared" ref="P94:P95" si="39">-(N94*O94)/(O94+1)</f>
        <v>-6.5820761652259172</v>
      </c>
      <c r="Q94" s="141">
        <f>Q63</f>
        <v>0.08</v>
      </c>
      <c r="R94" s="142">
        <f t="shared" ref="R94:R95" si="40">N94/(O94+1)</f>
        <v>548.50634710215979</v>
      </c>
      <c r="S94" s="142">
        <f>R94*Q94</f>
        <v>43.880507768172784</v>
      </c>
      <c r="T94" s="69">
        <f t="shared" ref="T94:T95" si="41">R94+S94</f>
        <v>592.38685487033263</v>
      </c>
      <c r="Y94" s="12" t="s">
        <v>191</v>
      </c>
      <c r="Z94" s="104">
        <f>SUM(T93:T95)</f>
        <v>2017.6385102692284</v>
      </c>
      <c r="AA94" s="12">
        <f t="shared" si="37"/>
        <v>1986.1513493420603</v>
      </c>
      <c r="AB94" s="106">
        <f>AB95-AB93-AB91</f>
        <v>1980.3831277912732</v>
      </c>
    </row>
    <row r="95" spans="9:28">
      <c r="I95" s="12" t="str">
        <f>I64</f>
        <v>Arena 3</v>
      </c>
      <c r="J95" s="12">
        <f>$J$92*E34</f>
        <v>998.83583472836892</v>
      </c>
      <c r="K95" s="12" t="s">
        <v>95</v>
      </c>
      <c r="M95" s="68" t="str">
        <f t="shared" si="38"/>
        <v>Arena 3</v>
      </c>
      <c r="N95" s="11">
        <f>J95</f>
        <v>998.83583472836892</v>
      </c>
      <c r="O95" s="141">
        <f>O64</f>
        <v>1.2E-2</v>
      </c>
      <c r="P95" s="11">
        <f t="shared" si="39"/>
        <v>-11.843903178597261</v>
      </c>
      <c r="Q95" s="141">
        <f>Q64</f>
        <v>0.06</v>
      </c>
      <c r="R95" s="142">
        <f t="shared" si="40"/>
        <v>986.99193154977161</v>
      </c>
      <c r="S95" s="142">
        <f t="shared" ref="S95" si="42">R95*Q95</f>
        <v>59.219515892986294</v>
      </c>
      <c r="T95" s="69">
        <f t="shared" si="41"/>
        <v>1046.2114474427578</v>
      </c>
      <c r="Y95" s="12" t="s">
        <v>192</v>
      </c>
      <c r="Z95" s="12">
        <f>T96</f>
        <v>2387.2553824779552</v>
      </c>
      <c r="AA95" s="12">
        <f>SUM(AA91:AA94)</f>
        <v>2350</v>
      </c>
      <c r="AB95" s="12">
        <f>AA95</f>
        <v>2350</v>
      </c>
    </row>
    <row r="96" spans="9:28">
      <c r="M96" s="68" t="s">
        <v>103</v>
      </c>
      <c r="N96" s="11">
        <f>J90+J91+J93+J94+J95</f>
        <v>2387.2553824779552</v>
      </c>
      <c r="P96" s="11" t="s">
        <v>64</v>
      </c>
      <c r="R96" s="141"/>
      <c r="S96" s="142">
        <f>-S90</f>
        <v>0</v>
      </c>
      <c r="T96" s="70">
        <f>SUM(T90:T95)+T98</f>
        <v>2387.2553824779552</v>
      </c>
    </row>
    <row r="97" spans="13:20">
      <c r="M97" s="68" t="s">
        <v>200</v>
      </c>
      <c r="N97" s="141">
        <f>C62</f>
        <v>0.01</v>
      </c>
      <c r="S97" s="141"/>
      <c r="T97" s="148">
        <f>N97</f>
        <v>0.01</v>
      </c>
    </row>
    <row r="98" spans="13:20">
      <c r="M98" s="71" t="s">
        <v>226</v>
      </c>
      <c r="N98" s="35">
        <f>J91*D14</f>
        <v>0</v>
      </c>
      <c r="O98" s="35"/>
      <c r="P98" s="35"/>
      <c r="Q98" s="35"/>
      <c r="R98" s="35"/>
      <c r="S98" s="35"/>
      <c r="T98" s="149">
        <f>N98</f>
        <v>0</v>
      </c>
    </row>
  </sheetData>
  <mergeCells count="101">
    <mergeCell ref="Y89:AB89"/>
    <mergeCell ref="Y57:AB57"/>
    <mergeCell ref="S83:T83"/>
    <mergeCell ref="I88:K88"/>
    <mergeCell ref="M88:T88"/>
    <mergeCell ref="E13:G13"/>
    <mergeCell ref="AG2:AH2"/>
    <mergeCell ref="S79:T79"/>
    <mergeCell ref="U79:V79"/>
    <mergeCell ref="S80:T80"/>
    <mergeCell ref="U80:V80"/>
    <mergeCell ref="S82:T82"/>
    <mergeCell ref="S76:T76"/>
    <mergeCell ref="U76:V76"/>
    <mergeCell ref="S77:T77"/>
    <mergeCell ref="U77:V77"/>
    <mergeCell ref="S78:T78"/>
    <mergeCell ref="U78:V78"/>
    <mergeCell ref="S73:T73"/>
    <mergeCell ref="U73:V73"/>
    <mergeCell ref="S74:T74"/>
    <mergeCell ref="U74:V74"/>
    <mergeCell ref="S75:T75"/>
    <mergeCell ref="U75:V75"/>
    <mergeCell ref="S70:T70"/>
    <mergeCell ref="U70:V70"/>
    <mergeCell ref="S72:T72"/>
    <mergeCell ref="U72:V72"/>
    <mergeCell ref="I69:M69"/>
    <mergeCell ref="S69:V69"/>
    <mergeCell ref="B45:D46"/>
    <mergeCell ref="S40:T40"/>
    <mergeCell ref="U40:V40"/>
    <mergeCell ref="S41:T41"/>
    <mergeCell ref="U44:V44"/>
    <mergeCell ref="U71:V71"/>
    <mergeCell ref="S52:T52"/>
    <mergeCell ref="B55:D55"/>
    <mergeCell ref="M57:T57"/>
    <mergeCell ref="B63:D63"/>
    <mergeCell ref="B50:D50"/>
    <mergeCell ref="S51:T51"/>
    <mergeCell ref="I57:K57"/>
    <mergeCell ref="S71:T71"/>
    <mergeCell ref="S49:T49"/>
    <mergeCell ref="U49:V49"/>
    <mergeCell ref="S45:T45"/>
    <mergeCell ref="U45:V45"/>
    <mergeCell ref="C35:D35"/>
    <mergeCell ref="C36:D36"/>
    <mergeCell ref="B38:D38"/>
    <mergeCell ref="C27:D27"/>
    <mergeCell ref="C28:D28"/>
    <mergeCell ref="C29:D29"/>
    <mergeCell ref="C31:D31"/>
    <mergeCell ref="AA24:AD24"/>
    <mergeCell ref="S48:T48"/>
    <mergeCell ref="U48:V48"/>
    <mergeCell ref="U41:V41"/>
    <mergeCell ref="I38:M38"/>
    <mergeCell ref="S38:V38"/>
    <mergeCell ref="S39:T39"/>
    <mergeCell ref="U39:V39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I20:J20"/>
    <mergeCell ref="C32:D32"/>
    <mergeCell ref="C33:D33"/>
    <mergeCell ref="C34:D34"/>
    <mergeCell ref="C26:D26"/>
    <mergeCell ref="I21:J21"/>
    <mergeCell ref="I24:Y24"/>
    <mergeCell ref="D16:F16"/>
    <mergeCell ref="E14:G14"/>
    <mergeCell ref="X1:AD1"/>
    <mergeCell ref="Q2:S2"/>
    <mergeCell ref="B3:B12"/>
    <mergeCell ref="I3:J3"/>
    <mergeCell ref="K3:L3"/>
    <mergeCell ref="N3:O3"/>
    <mergeCell ref="Q3:R3"/>
    <mergeCell ref="E3:G3"/>
    <mergeCell ref="E4:G4"/>
    <mergeCell ref="E2:G2"/>
    <mergeCell ref="E6:G6"/>
    <mergeCell ref="E7:G7"/>
    <mergeCell ref="E8:G8"/>
    <mergeCell ref="E9:G9"/>
    <mergeCell ref="E10:G10"/>
    <mergeCell ref="K2:M2"/>
    <mergeCell ref="N2:P2"/>
    <mergeCell ref="E5:G5"/>
    <mergeCell ref="E11:G11"/>
    <mergeCell ref="E12:G12"/>
  </mergeCells>
  <conditionalFormatting sqref="Q40:Q54">
    <cfRule type="colorScale" priority="2">
      <colorScale>
        <cfvo type="min"/>
        <cfvo type="max"/>
        <color theme="5" tint="0.59999389629810485"/>
        <color theme="9" tint="0.59999389629810485"/>
      </colorScale>
    </cfRule>
    <cfRule type="colorScale" priority="4">
      <colorScale>
        <cfvo type="min"/>
        <cfvo type="max"/>
        <color rgb="FFFF0000"/>
        <color rgb="FF00B050"/>
      </colorScale>
    </cfRule>
  </conditionalFormatting>
  <conditionalFormatting sqref="Q71:Q85">
    <cfRule type="colorScale" priority="1">
      <colorScale>
        <cfvo type="min"/>
        <cfvo type="max"/>
        <color theme="5" tint="0.59999389629810485"/>
        <color theme="9" tint="0.59999389629810485"/>
      </colorScale>
    </cfRule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AF192-B2CD-6D45-A645-CE094576B461}">
  <sheetPr codeName="Hoja2"/>
  <dimension ref="A1"/>
  <sheetViews>
    <sheetView zoomScale="83" zoomScaleNormal="100" workbookViewId="0">
      <selection activeCell="P26" sqref="P26"/>
    </sheetView>
  </sheetViews>
  <sheetFormatPr baseColWidth="10" defaultRowHeight="15.7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7B78-82D9-7E46-B84D-5DA96C4FC061}">
  <sheetPr codeName="Hoja3"/>
  <dimension ref="A1:W1000"/>
  <sheetViews>
    <sheetView topLeftCell="L2" workbookViewId="0">
      <selection activeCell="Q15" sqref="Q15"/>
    </sheetView>
  </sheetViews>
  <sheetFormatPr baseColWidth="10" defaultColWidth="12.6875" defaultRowHeight="15.75"/>
  <cols>
    <col min="1" max="1" width="5.1875" customWidth="1"/>
  </cols>
  <sheetData>
    <row r="1" spans="1:23" ht="15.75" customHeight="1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</row>
    <row r="2" spans="1:23" ht="15.75" customHeight="1">
      <c r="A2" s="111"/>
      <c r="B2" s="112"/>
      <c r="C2" s="112"/>
      <c r="D2" s="204" t="s">
        <v>201</v>
      </c>
      <c r="E2" s="202"/>
      <c r="F2" s="200"/>
      <c r="G2" s="164" t="s">
        <v>1</v>
      </c>
      <c r="H2" s="202"/>
      <c r="I2" s="200"/>
      <c r="J2" s="164" t="s">
        <v>202</v>
      </c>
      <c r="K2" s="202"/>
      <c r="L2" s="200"/>
      <c r="M2" s="164" t="s">
        <v>203</v>
      </c>
      <c r="N2" s="202"/>
      <c r="O2" s="200"/>
    </row>
    <row r="3" spans="1:23" ht="15.75" customHeight="1">
      <c r="A3" s="111"/>
      <c r="B3" s="204" t="s">
        <v>6</v>
      </c>
      <c r="C3" s="200"/>
      <c r="D3" s="204" t="s">
        <v>7</v>
      </c>
      <c r="E3" s="200"/>
      <c r="F3" s="113" t="s">
        <v>8</v>
      </c>
      <c r="G3" s="164" t="s">
        <v>7</v>
      </c>
      <c r="H3" s="200"/>
      <c r="I3" s="113" t="s">
        <v>8</v>
      </c>
      <c r="J3" s="164" t="s">
        <v>7</v>
      </c>
      <c r="K3" s="200"/>
      <c r="L3" s="113" t="s">
        <v>8</v>
      </c>
      <c r="M3" s="164" t="s">
        <v>7</v>
      </c>
      <c r="N3" s="200"/>
      <c r="O3" s="113" t="s">
        <v>8</v>
      </c>
    </row>
    <row r="4" spans="1:23" ht="15.75" customHeight="1">
      <c r="A4" s="111"/>
      <c r="B4" s="114" t="s">
        <v>10</v>
      </c>
      <c r="C4" s="115" t="s">
        <v>11</v>
      </c>
      <c r="D4" s="114" t="s">
        <v>12</v>
      </c>
      <c r="E4" s="113" t="s">
        <v>13</v>
      </c>
      <c r="F4" s="113" t="s">
        <v>13</v>
      </c>
      <c r="G4" s="113" t="s">
        <v>12</v>
      </c>
      <c r="H4" s="113" t="s">
        <v>13</v>
      </c>
      <c r="I4" s="113" t="s">
        <v>13</v>
      </c>
      <c r="J4" s="113" t="s">
        <v>12</v>
      </c>
      <c r="K4" s="113" t="s">
        <v>13</v>
      </c>
      <c r="L4" s="113" t="s">
        <v>13</v>
      </c>
      <c r="M4" s="113" t="s">
        <v>12</v>
      </c>
      <c r="N4" s="113" t="s">
        <v>13</v>
      </c>
      <c r="O4" s="113" t="s">
        <v>13</v>
      </c>
    </row>
    <row r="5" spans="1:23" ht="15.75" customHeight="1">
      <c r="A5" s="111"/>
      <c r="B5" s="1">
        <v>75</v>
      </c>
      <c r="C5" s="2" t="s">
        <v>15</v>
      </c>
      <c r="D5" s="3">
        <v>0</v>
      </c>
      <c r="E5" s="4">
        <v>0</v>
      </c>
      <c r="F5" s="4">
        <v>1</v>
      </c>
      <c r="G5" s="5">
        <v>0</v>
      </c>
      <c r="H5" s="4">
        <v>0</v>
      </c>
      <c r="I5" s="4">
        <v>1</v>
      </c>
      <c r="J5" s="5">
        <v>0</v>
      </c>
      <c r="K5" s="4">
        <v>0</v>
      </c>
      <c r="L5" s="4">
        <v>1</v>
      </c>
      <c r="M5" s="5">
        <v>0</v>
      </c>
      <c r="N5" s="4">
        <v>0</v>
      </c>
      <c r="O5" s="4">
        <v>1</v>
      </c>
      <c r="P5" s="111"/>
      <c r="Q5" s="111"/>
      <c r="R5" s="111"/>
      <c r="S5" s="111"/>
      <c r="T5" s="111"/>
      <c r="U5" s="111"/>
      <c r="V5" s="111"/>
      <c r="W5" s="111"/>
    </row>
    <row r="6" spans="1:23" ht="15.75" customHeight="1">
      <c r="A6" s="111"/>
      <c r="B6" s="1">
        <v>63</v>
      </c>
      <c r="C6" s="2" t="s">
        <v>18</v>
      </c>
      <c r="D6" s="3">
        <v>0</v>
      </c>
      <c r="E6" s="4">
        <v>0</v>
      </c>
      <c r="F6" s="4">
        <v>1</v>
      </c>
      <c r="G6" s="5">
        <v>0</v>
      </c>
      <c r="H6" s="4">
        <v>0</v>
      </c>
      <c r="I6" s="4">
        <v>1</v>
      </c>
      <c r="J6" s="5">
        <v>0</v>
      </c>
      <c r="K6" s="4">
        <v>0</v>
      </c>
      <c r="L6" s="4">
        <v>1</v>
      </c>
      <c r="M6" s="5">
        <v>0</v>
      </c>
      <c r="N6" s="4">
        <v>0</v>
      </c>
      <c r="O6" s="4">
        <v>1</v>
      </c>
      <c r="P6" s="111"/>
      <c r="Q6" s="111"/>
      <c r="R6" s="111"/>
      <c r="S6" s="111"/>
      <c r="T6" s="111"/>
      <c r="U6" s="111"/>
      <c r="V6" s="111"/>
      <c r="W6" s="111"/>
    </row>
    <row r="7" spans="1:23" ht="15.75" customHeight="1">
      <c r="A7" s="111"/>
      <c r="B7" s="1">
        <v>50</v>
      </c>
      <c r="C7" s="2" t="s">
        <v>21</v>
      </c>
      <c r="D7" s="3">
        <v>0</v>
      </c>
      <c r="E7" s="4">
        <v>0</v>
      </c>
      <c r="F7" s="4">
        <v>1</v>
      </c>
      <c r="G7" s="5">
        <v>0</v>
      </c>
      <c r="H7" s="4">
        <v>0</v>
      </c>
      <c r="I7" s="4">
        <v>1</v>
      </c>
      <c r="J7" s="5">
        <v>0</v>
      </c>
      <c r="K7" s="4">
        <v>0</v>
      </c>
      <c r="L7" s="4">
        <v>1</v>
      </c>
      <c r="M7" s="5">
        <v>0</v>
      </c>
      <c r="N7" s="4">
        <v>0</v>
      </c>
      <c r="O7" s="4">
        <v>1</v>
      </c>
      <c r="P7" s="111"/>
      <c r="Q7" s="111"/>
      <c r="R7" s="111"/>
      <c r="S7" s="111"/>
      <c r="T7" s="111"/>
      <c r="U7" s="111"/>
      <c r="V7" s="111"/>
      <c r="W7" s="111"/>
    </row>
    <row r="8" spans="1:23" ht="15.75" customHeight="1">
      <c r="A8" s="111"/>
      <c r="B8" s="1" t="s">
        <v>204</v>
      </c>
      <c r="C8" s="2" t="s">
        <v>24</v>
      </c>
      <c r="D8" s="3">
        <v>0</v>
      </c>
      <c r="E8" s="4">
        <v>0</v>
      </c>
      <c r="F8" s="4">
        <v>1</v>
      </c>
      <c r="G8" s="5">
        <v>0</v>
      </c>
      <c r="H8" s="4">
        <v>0</v>
      </c>
      <c r="I8" s="4">
        <v>1</v>
      </c>
      <c r="J8" s="5">
        <v>0</v>
      </c>
      <c r="K8" s="4">
        <v>0</v>
      </c>
      <c r="L8" s="4">
        <v>1</v>
      </c>
      <c r="M8" s="5">
        <v>0</v>
      </c>
      <c r="N8" s="4">
        <v>0</v>
      </c>
      <c r="O8" s="4">
        <v>1</v>
      </c>
      <c r="P8" s="111"/>
      <c r="Q8" s="111"/>
      <c r="R8" s="111"/>
      <c r="S8" s="111"/>
      <c r="T8" s="111"/>
      <c r="U8" s="111"/>
      <c r="V8" s="111"/>
      <c r="W8" s="111"/>
    </row>
    <row r="9" spans="1:23" ht="15.75" customHeight="1">
      <c r="A9" s="111"/>
      <c r="B9" s="1">
        <v>25</v>
      </c>
      <c r="C9" s="2" t="s">
        <v>27</v>
      </c>
      <c r="D9" s="3">
        <v>0</v>
      </c>
      <c r="E9" s="4">
        <v>0</v>
      </c>
      <c r="F9" s="4">
        <v>1</v>
      </c>
      <c r="G9" s="5">
        <v>0</v>
      </c>
      <c r="H9" s="4">
        <v>0</v>
      </c>
      <c r="I9" s="4">
        <v>1</v>
      </c>
      <c r="J9" s="5">
        <v>0</v>
      </c>
      <c r="K9" s="4">
        <v>0</v>
      </c>
      <c r="L9" s="4">
        <v>1</v>
      </c>
      <c r="M9" s="5">
        <v>0</v>
      </c>
      <c r="N9" s="4">
        <v>0</v>
      </c>
      <c r="O9" s="4">
        <v>1</v>
      </c>
      <c r="P9" s="111"/>
      <c r="Q9" s="112"/>
      <c r="R9" s="112"/>
      <c r="S9" s="116" t="s">
        <v>201</v>
      </c>
      <c r="T9" s="6" t="s">
        <v>1</v>
      </c>
      <c r="U9" s="6" t="s">
        <v>202</v>
      </c>
      <c r="V9" s="6" t="s">
        <v>203</v>
      </c>
      <c r="W9" s="111"/>
    </row>
    <row r="10" spans="1:23" ht="15.75" customHeight="1">
      <c r="A10" s="111"/>
      <c r="B10" s="1">
        <v>19</v>
      </c>
      <c r="C10" s="2" t="s">
        <v>29</v>
      </c>
      <c r="D10" s="3">
        <v>70</v>
      </c>
      <c r="E10" s="4">
        <v>7.0000000000000007E-2</v>
      </c>
      <c r="F10" s="4">
        <f t="shared" ref="F10:F18" si="0">F9-E10</f>
        <v>0.92999999999999994</v>
      </c>
      <c r="G10" s="5">
        <v>50</v>
      </c>
      <c r="H10" s="4">
        <v>0.05</v>
      </c>
      <c r="I10" s="4">
        <f t="shared" ref="I10:I18" si="1">I9-H10</f>
        <v>0.95</v>
      </c>
      <c r="J10" s="5">
        <v>60</v>
      </c>
      <c r="K10" s="4">
        <v>0.06</v>
      </c>
      <c r="L10" s="4">
        <f t="shared" ref="L10:L16" si="2">L9-K10</f>
        <v>0.94</v>
      </c>
      <c r="M10" s="5">
        <v>30</v>
      </c>
      <c r="N10" s="4">
        <v>0.03</v>
      </c>
      <c r="O10" s="4">
        <f t="shared" ref="O10:O16" si="3">O9-N10</f>
        <v>0.97</v>
      </c>
      <c r="P10" s="111"/>
      <c r="Q10" s="170" t="s">
        <v>37</v>
      </c>
      <c r="R10" s="200"/>
      <c r="S10" s="117">
        <v>1.2E-2</v>
      </c>
      <c r="T10" s="118">
        <v>1.2E-2</v>
      </c>
      <c r="U10" s="118">
        <v>1.2E-2</v>
      </c>
      <c r="V10" s="118">
        <v>1.2E-2</v>
      </c>
      <c r="W10" s="111"/>
    </row>
    <row r="11" spans="1:23" ht="15.75" customHeight="1">
      <c r="A11" s="111"/>
      <c r="B11" s="119">
        <v>45424</v>
      </c>
      <c r="C11" s="2" t="s">
        <v>31</v>
      </c>
      <c r="D11" s="3">
        <v>160</v>
      </c>
      <c r="E11" s="4">
        <v>0.16</v>
      </c>
      <c r="F11" s="4">
        <f t="shared" si="0"/>
        <v>0.76999999999999991</v>
      </c>
      <c r="G11" s="5">
        <v>350</v>
      </c>
      <c r="H11" s="4">
        <v>0.35</v>
      </c>
      <c r="I11" s="4">
        <f t="shared" si="1"/>
        <v>0.6</v>
      </c>
      <c r="J11" s="5">
        <v>410</v>
      </c>
      <c r="K11" s="4">
        <v>0.41</v>
      </c>
      <c r="L11" s="4">
        <f t="shared" si="2"/>
        <v>0.53</v>
      </c>
      <c r="M11" s="5">
        <v>320</v>
      </c>
      <c r="N11" s="4">
        <v>0.32</v>
      </c>
      <c r="O11" s="4">
        <f t="shared" si="3"/>
        <v>0.64999999999999991</v>
      </c>
      <c r="P11" s="111"/>
      <c r="Q11" s="170" t="s">
        <v>39</v>
      </c>
      <c r="R11" s="200"/>
      <c r="S11" s="117">
        <v>7.0000000000000007E-2</v>
      </c>
      <c r="T11" s="118">
        <v>0.08</v>
      </c>
      <c r="U11" s="118">
        <v>0.06</v>
      </c>
      <c r="V11" s="118">
        <v>0.05</v>
      </c>
      <c r="W11" s="111"/>
    </row>
    <row r="12" spans="1:23" ht="15.75" customHeight="1">
      <c r="A12" s="111"/>
      <c r="B12" s="119">
        <v>45421</v>
      </c>
      <c r="C12" s="2" t="s">
        <v>33</v>
      </c>
      <c r="D12" s="3">
        <v>220</v>
      </c>
      <c r="E12" s="4">
        <v>0.22</v>
      </c>
      <c r="F12" s="4">
        <f t="shared" si="0"/>
        <v>0.54999999999999993</v>
      </c>
      <c r="G12" s="5">
        <v>120</v>
      </c>
      <c r="H12" s="4">
        <v>0.12</v>
      </c>
      <c r="I12" s="4">
        <f t="shared" si="1"/>
        <v>0.48</v>
      </c>
      <c r="J12" s="5">
        <v>160</v>
      </c>
      <c r="K12" s="4">
        <v>0.16</v>
      </c>
      <c r="L12" s="4">
        <f t="shared" si="2"/>
        <v>0.37</v>
      </c>
      <c r="M12" s="5">
        <v>120</v>
      </c>
      <c r="N12" s="4">
        <v>0.12</v>
      </c>
      <c r="O12" s="4">
        <f t="shared" si="3"/>
        <v>0.52999999999999992</v>
      </c>
      <c r="P12" s="111"/>
      <c r="Q12" s="170" t="s">
        <v>137</v>
      </c>
      <c r="R12" s="200"/>
      <c r="S12" s="3">
        <v>2.8</v>
      </c>
      <c r="T12" s="5">
        <v>2.8</v>
      </c>
      <c r="U12" s="5">
        <v>2.8</v>
      </c>
      <c r="V12" s="5">
        <v>2.8</v>
      </c>
      <c r="W12" s="111"/>
    </row>
    <row r="13" spans="1:23" ht="15.75" customHeight="1">
      <c r="A13" s="111"/>
      <c r="B13" s="119">
        <v>45357</v>
      </c>
      <c r="C13" s="2" t="s">
        <v>34</v>
      </c>
      <c r="D13" s="3">
        <v>280</v>
      </c>
      <c r="E13" s="4">
        <v>0.28000000000000003</v>
      </c>
      <c r="F13" s="4">
        <f t="shared" si="0"/>
        <v>0.26999999999999991</v>
      </c>
      <c r="G13" s="5">
        <v>280</v>
      </c>
      <c r="H13" s="4">
        <v>0.28000000000000003</v>
      </c>
      <c r="I13" s="4">
        <f t="shared" si="1"/>
        <v>0.19999999999999996</v>
      </c>
      <c r="J13" s="5">
        <v>210</v>
      </c>
      <c r="K13" s="4">
        <v>0.21</v>
      </c>
      <c r="L13" s="4">
        <f t="shared" si="2"/>
        <v>0.16</v>
      </c>
      <c r="M13" s="5">
        <v>270</v>
      </c>
      <c r="N13" s="4">
        <v>0.27</v>
      </c>
      <c r="O13" s="4">
        <f t="shared" si="3"/>
        <v>0.2599999999999999</v>
      </c>
      <c r="P13" s="111"/>
      <c r="Q13" s="111"/>
      <c r="R13" s="111"/>
      <c r="S13" s="111"/>
      <c r="T13" s="111"/>
      <c r="U13" s="111"/>
      <c r="V13" s="111"/>
      <c r="W13" s="111"/>
    </row>
    <row r="14" spans="1:23" ht="15.75" customHeight="1">
      <c r="A14" s="111"/>
      <c r="B14" s="1" t="s">
        <v>205</v>
      </c>
      <c r="C14" s="2" t="s">
        <v>35</v>
      </c>
      <c r="D14" s="3">
        <v>250</v>
      </c>
      <c r="E14" s="4">
        <v>0.25</v>
      </c>
      <c r="F14" s="4">
        <f t="shared" si="0"/>
        <v>1.9999999999999907E-2</v>
      </c>
      <c r="G14" s="5">
        <v>80</v>
      </c>
      <c r="H14" s="4">
        <v>0.08</v>
      </c>
      <c r="I14" s="4">
        <f t="shared" si="1"/>
        <v>0.11999999999999995</v>
      </c>
      <c r="J14" s="5">
        <v>100</v>
      </c>
      <c r="K14" s="4">
        <v>0.1</v>
      </c>
      <c r="L14" s="4">
        <f t="shared" si="2"/>
        <v>0.06</v>
      </c>
      <c r="M14" s="5">
        <v>140</v>
      </c>
      <c r="N14" s="4">
        <v>0.14000000000000001</v>
      </c>
      <c r="O14" s="4">
        <f t="shared" si="3"/>
        <v>0.11999999999999988</v>
      </c>
      <c r="P14" s="111"/>
      <c r="Q14" s="111"/>
      <c r="R14" s="111"/>
      <c r="S14" s="111"/>
      <c r="T14" s="111"/>
      <c r="U14" s="111"/>
      <c r="V14" s="111"/>
      <c r="W14" s="111"/>
    </row>
    <row r="15" spans="1:23" ht="15.75" customHeight="1">
      <c r="A15" s="111"/>
      <c r="B15" s="1" t="s">
        <v>206</v>
      </c>
      <c r="C15" s="2" t="s">
        <v>36</v>
      </c>
      <c r="D15" s="3">
        <v>20</v>
      </c>
      <c r="E15" s="4">
        <v>0.02</v>
      </c>
      <c r="F15" s="4">
        <f t="shared" si="0"/>
        <v>-9.3675067702747583E-17</v>
      </c>
      <c r="G15" s="5">
        <v>120</v>
      </c>
      <c r="H15" s="4">
        <v>0.12</v>
      </c>
      <c r="I15" s="4">
        <f t="shared" si="1"/>
        <v>0</v>
      </c>
      <c r="J15" s="5">
        <v>60</v>
      </c>
      <c r="K15" s="4">
        <v>0.06</v>
      </c>
      <c r="L15" s="4">
        <f t="shared" si="2"/>
        <v>0</v>
      </c>
      <c r="M15" s="5">
        <v>90</v>
      </c>
      <c r="N15" s="4">
        <v>0.09</v>
      </c>
      <c r="O15" s="4">
        <f t="shared" si="3"/>
        <v>2.9999999999999888E-2</v>
      </c>
      <c r="P15" s="111"/>
      <c r="Q15" s="111"/>
      <c r="R15" s="111"/>
      <c r="S15" s="111"/>
      <c r="T15" s="111"/>
      <c r="U15" s="111"/>
      <c r="V15" s="111"/>
      <c r="W15" s="111"/>
    </row>
    <row r="16" spans="1:23" ht="15.75" customHeight="1">
      <c r="A16" s="111"/>
      <c r="B16" s="1" t="s">
        <v>207</v>
      </c>
      <c r="C16" s="2" t="s">
        <v>38</v>
      </c>
      <c r="D16" s="3">
        <v>0</v>
      </c>
      <c r="E16" s="4">
        <v>0</v>
      </c>
      <c r="F16" s="4">
        <f t="shared" si="0"/>
        <v>-9.3675067702747583E-17</v>
      </c>
      <c r="G16" s="5">
        <v>0</v>
      </c>
      <c r="H16" s="4">
        <v>0</v>
      </c>
      <c r="I16" s="4">
        <f t="shared" si="1"/>
        <v>0</v>
      </c>
      <c r="J16" s="5">
        <v>0</v>
      </c>
      <c r="K16" s="4">
        <v>0</v>
      </c>
      <c r="L16" s="4">
        <f t="shared" si="2"/>
        <v>0</v>
      </c>
      <c r="M16" s="5">
        <v>30</v>
      </c>
      <c r="N16" s="4">
        <v>0.03</v>
      </c>
      <c r="O16" s="4">
        <f t="shared" si="3"/>
        <v>-1.1102230246251565E-16</v>
      </c>
      <c r="P16" s="111"/>
      <c r="Q16" s="111"/>
      <c r="R16" s="111"/>
      <c r="S16" s="111"/>
      <c r="T16" s="111"/>
      <c r="U16" s="111"/>
      <c r="V16" s="111"/>
      <c r="W16" s="111"/>
    </row>
    <row r="17" spans="1:23" ht="15.75" customHeight="1">
      <c r="A17" s="111"/>
      <c r="B17" s="1" t="s">
        <v>208</v>
      </c>
      <c r="C17" s="2" t="s">
        <v>40</v>
      </c>
      <c r="D17" s="3">
        <v>0</v>
      </c>
      <c r="E17" s="4">
        <v>0</v>
      </c>
      <c r="F17" s="4">
        <f t="shared" si="0"/>
        <v>-9.3675067702747583E-17</v>
      </c>
      <c r="G17" s="5">
        <v>0</v>
      </c>
      <c r="H17" s="4">
        <v>0</v>
      </c>
      <c r="I17" s="4">
        <f t="shared" si="1"/>
        <v>0</v>
      </c>
      <c r="J17" s="5">
        <v>0</v>
      </c>
      <c r="K17" s="4">
        <v>0</v>
      </c>
      <c r="L17" s="4">
        <v>0</v>
      </c>
      <c r="M17" s="5">
        <v>0</v>
      </c>
      <c r="N17" s="4">
        <v>0</v>
      </c>
      <c r="O17" s="4">
        <v>0</v>
      </c>
      <c r="P17" s="111"/>
      <c r="Q17" s="111"/>
      <c r="R17" s="111"/>
      <c r="S17" s="111"/>
      <c r="T17" s="111"/>
      <c r="U17" s="111"/>
      <c r="V17" s="111"/>
      <c r="W17" s="111"/>
    </row>
    <row r="18" spans="1:23" ht="15.75" customHeight="1">
      <c r="A18" s="111"/>
      <c r="B18" s="1" t="s">
        <v>209</v>
      </c>
      <c r="C18" s="2" t="s">
        <v>41</v>
      </c>
      <c r="D18" s="3">
        <v>0</v>
      </c>
      <c r="E18" s="4">
        <v>0</v>
      </c>
      <c r="F18" s="4">
        <f t="shared" si="0"/>
        <v>-9.3675067702747583E-17</v>
      </c>
      <c r="G18" s="5">
        <v>0</v>
      </c>
      <c r="H18" s="4">
        <v>0</v>
      </c>
      <c r="I18" s="4">
        <f t="shared" si="1"/>
        <v>0</v>
      </c>
      <c r="J18" s="5">
        <v>0</v>
      </c>
      <c r="K18" s="4">
        <v>0</v>
      </c>
      <c r="L18" s="4">
        <v>0</v>
      </c>
      <c r="M18" s="5">
        <v>0</v>
      </c>
      <c r="N18" s="4">
        <v>0</v>
      </c>
      <c r="O18" s="4">
        <v>0</v>
      </c>
      <c r="P18" s="111"/>
      <c r="Q18" s="111"/>
      <c r="R18" s="111"/>
      <c r="S18" s="111"/>
      <c r="T18" s="111"/>
      <c r="U18" s="111"/>
      <c r="V18" s="111"/>
      <c r="W18" s="111"/>
    </row>
    <row r="19" spans="1:23" ht="15.75" customHeight="1">
      <c r="A19" s="111"/>
      <c r="B19" s="7" t="s">
        <v>210</v>
      </c>
      <c r="C19" s="8" t="s">
        <v>43</v>
      </c>
      <c r="D19" s="3">
        <v>0</v>
      </c>
      <c r="E19" s="4">
        <v>0</v>
      </c>
      <c r="F19" s="4">
        <v>0</v>
      </c>
      <c r="G19" s="5">
        <v>0</v>
      </c>
      <c r="H19" s="4">
        <v>0</v>
      </c>
      <c r="I19" s="4">
        <v>0</v>
      </c>
      <c r="J19" s="5">
        <v>0</v>
      </c>
      <c r="K19" s="4">
        <v>0</v>
      </c>
      <c r="L19" s="4">
        <v>0</v>
      </c>
      <c r="M19" s="5">
        <v>0</v>
      </c>
      <c r="N19" s="4">
        <v>0</v>
      </c>
      <c r="O19" s="4">
        <v>0</v>
      </c>
      <c r="P19" s="111"/>
      <c r="Q19" s="111"/>
      <c r="R19" s="111"/>
      <c r="S19" s="111"/>
      <c r="T19" s="111"/>
      <c r="U19" s="111"/>
      <c r="V19" s="111"/>
      <c r="W19" s="111"/>
    </row>
    <row r="20" spans="1:23" ht="15.75" customHeight="1">
      <c r="A20" s="111"/>
      <c r="B20" s="170" t="s">
        <v>44</v>
      </c>
      <c r="C20" s="200"/>
      <c r="D20" s="5">
        <v>0</v>
      </c>
      <c r="E20" s="9"/>
      <c r="F20" s="9"/>
      <c r="G20" s="3">
        <v>0</v>
      </c>
      <c r="H20" s="9"/>
      <c r="I20" s="9"/>
      <c r="J20" s="3">
        <v>0</v>
      </c>
      <c r="K20" s="9"/>
      <c r="L20" s="112"/>
      <c r="M20" s="3">
        <v>0</v>
      </c>
      <c r="N20" s="9"/>
      <c r="O20" s="112"/>
      <c r="P20" s="111"/>
      <c r="Q20" s="111"/>
      <c r="R20" s="111"/>
      <c r="S20" s="111"/>
      <c r="T20" s="111"/>
      <c r="U20" s="111"/>
      <c r="V20" s="111"/>
      <c r="W20" s="111"/>
    </row>
    <row r="21" spans="1:23" ht="15.75" customHeight="1">
      <c r="A21" s="111"/>
      <c r="B21" s="170" t="s">
        <v>45</v>
      </c>
      <c r="C21" s="200"/>
      <c r="D21" s="5">
        <f>SUM(D5:D19)</f>
        <v>1000</v>
      </c>
      <c r="E21" s="112"/>
      <c r="F21" s="112"/>
      <c r="G21" s="10">
        <f>SUM(G5:G19)</f>
        <v>1000</v>
      </c>
      <c r="H21" s="112"/>
      <c r="I21" s="112"/>
      <c r="J21" s="3">
        <f>SUM(J5:J19)</f>
        <v>1000</v>
      </c>
      <c r="K21" s="112"/>
      <c r="L21" s="112"/>
      <c r="M21" s="3">
        <f>SUM(M5:M19)</f>
        <v>1000</v>
      </c>
      <c r="N21" s="112"/>
      <c r="O21" s="112"/>
    </row>
    <row r="22" spans="1:23" ht="15.75" customHeight="1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</row>
    <row r="23" spans="1:23" ht="15.75" customHeight="1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</row>
    <row r="24" spans="1:23" ht="15.75" customHeight="1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</row>
    <row r="25" spans="1:23" ht="15.75" customHeight="1">
      <c r="A25" s="111"/>
      <c r="B25" s="112"/>
      <c r="C25" s="112"/>
      <c r="D25" s="163" t="s">
        <v>0</v>
      </c>
      <c r="E25" s="202"/>
      <c r="F25" s="200"/>
      <c r="G25" s="203" t="s">
        <v>211</v>
      </c>
      <c r="H25" s="202"/>
      <c r="I25" s="200"/>
      <c r="J25" s="203" t="s">
        <v>212</v>
      </c>
      <c r="K25" s="202"/>
      <c r="L25" s="200"/>
      <c r="M25" s="203" t="s">
        <v>213</v>
      </c>
      <c r="N25" s="202"/>
      <c r="O25" s="200"/>
    </row>
    <row r="26" spans="1:23" ht="15.75" customHeight="1">
      <c r="A26" s="111"/>
      <c r="B26" s="163" t="s">
        <v>6</v>
      </c>
      <c r="C26" s="200"/>
      <c r="D26" s="163" t="s">
        <v>7</v>
      </c>
      <c r="E26" s="200"/>
      <c r="F26" s="120" t="s">
        <v>8</v>
      </c>
      <c r="G26" s="203" t="s">
        <v>7</v>
      </c>
      <c r="H26" s="200"/>
      <c r="I26" s="120" t="s">
        <v>8</v>
      </c>
      <c r="J26" s="203" t="s">
        <v>7</v>
      </c>
      <c r="K26" s="200"/>
      <c r="L26" s="120" t="s">
        <v>8</v>
      </c>
      <c r="M26" s="203" t="s">
        <v>7</v>
      </c>
      <c r="N26" s="200"/>
      <c r="O26" s="120" t="s">
        <v>8</v>
      </c>
    </row>
    <row r="27" spans="1:23" ht="15.75" customHeight="1">
      <c r="A27" s="111"/>
      <c r="B27" s="121" t="s">
        <v>10</v>
      </c>
      <c r="C27" s="122" t="s">
        <v>11</v>
      </c>
      <c r="D27" s="121" t="s">
        <v>12</v>
      </c>
      <c r="E27" s="120" t="s">
        <v>13</v>
      </c>
      <c r="F27" s="120" t="s">
        <v>13</v>
      </c>
      <c r="G27" s="120" t="s">
        <v>12</v>
      </c>
      <c r="H27" s="120" t="s">
        <v>13</v>
      </c>
      <c r="I27" s="120" t="s">
        <v>13</v>
      </c>
      <c r="J27" s="120" t="s">
        <v>12</v>
      </c>
      <c r="K27" s="120" t="s">
        <v>13</v>
      </c>
      <c r="L27" s="120" t="s">
        <v>13</v>
      </c>
      <c r="M27" s="120" t="s">
        <v>12</v>
      </c>
      <c r="N27" s="120" t="s">
        <v>13</v>
      </c>
      <c r="O27" s="120" t="s">
        <v>13</v>
      </c>
    </row>
    <row r="28" spans="1:23" ht="15.75" customHeight="1">
      <c r="A28" s="111"/>
      <c r="B28" s="1">
        <v>75</v>
      </c>
      <c r="C28" s="2" t="s">
        <v>15</v>
      </c>
      <c r="D28" s="3">
        <v>0</v>
      </c>
      <c r="E28" s="4">
        <v>0</v>
      </c>
      <c r="F28" s="4">
        <v>1</v>
      </c>
      <c r="G28" s="5">
        <v>0</v>
      </c>
      <c r="H28" s="4">
        <v>0</v>
      </c>
      <c r="I28" s="4">
        <v>1</v>
      </c>
      <c r="J28" s="5">
        <v>0</v>
      </c>
      <c r="K28" s="4">
        <v>0</v>
      </c>
      <c r="L28" s="4">
        <v>1</v>
      </c>
      <c r="M28" s="5">
        <v>0</v>
      </c>
      <c r="N28" s="4">
        <v>0</v>
      </c>
      <c r="O28" s="4">
        <v>1</v>
      </c>
    </row>
    <row r="29" spans="1:23" ht="15.75" customHeight="1">
      <c r="A29" s="111"/>
      <c r="B29" s="1">
        <v>63</v>
      </c>
      <c r="C29" s="2" t="s">
        <v>18</v>
      </c>
      <c r="D29" s="3">
        <v>0</v>
      </c>
      <c r="E29" s="4">
        <v>0</v>
      </c>
      <c r="F29" s="4">
        <v>1</v>
      </c>
      <c r="G29" s="5">
        <v>0</v>
      </c>
      <c r="H29" s="4">
        <v>0</v>
      </c>
      <c r="I29" s="4">
        <v>1</v>
      </c>
      <c r="J29" s="5">
        <v>0</v>
      </c>
      <c r="K29" s="4">
        <v>0</v>
      </c>
      <c r="L29" s="4">
        <v>1</v>
      </c>
      <c r="M29" s="5">
        <v>0</v>
      </c>
      <c r="N29" s="4">
        <v>0</v>
      </c>
      <c r="O29" s="4">
        <v>1</v>
      </c>
    </row>
    <row r="30" spans="1:23" ht="15.75" customHeight="1">
      <c r="A30" s="111"/>
      <c r="B30" s="1">
        <v>50</v>
      </c>
      <c r="C30" s="2" t="s">
        <v>21</v>
      </c>
      <c r="D30" s="3">
        <v>0</v>
      </c>
      <c r="E30" s="4">
        <v>0</v>
      </c>
      <c r="F30" s="4">
        <v>1</v>
      </c>
      <c r="G30" s="5">
        <v>0</v>
      </c>
      <c r="H30" s="4">
        <v>0</v>
      </c>
      <c r="I30" s="4">
        <v>1</v>
      </c>
      <c r="J30" s="5">
        <v>0</v>
      </c>
      <c r="K30" s="4">
        <v>0</v>
      </c>
      <c r="L30" s="4">
        <v>1</v>
      </c>
      <c r="M30" s="5">
        <v>0</v>
      </c>
      <c r="N30" s="4">
        <v>0</v>
      </c>
      <c r="O30" s="4">
        <v>1</v>
      </c>
    </row>
    <row r="31" spans="1:23" ht="15.75" customHeight="1">
      <c r="B31" s="1" t="s">
        <v>204</v>
      </c>
      <c r="C31" s="2" t="s">
        <v>24</v>
      </c>
      <c r="D31" s="3">
        <v>60</v>
      </c>
      <c r="E31" s="4">
        <v>0.06</v>
      </c>
      <c r="F31" s="4">
        <v>0.94</v>
      </c>
      <c r="G31" s="5">
        <v>0</v>
      </c>
      <c r="H31" s="4">
        <v>0</v>
      </c>
      <c r="I31" s="4">
        <v>1</v>
      </c>
      <c r="J31" s="5">
        <v>70</v>
      </c>
      <c r="K31" s="4">
        <v>7.0000000000000007E-2</v>
      </c>
      <c r="L31" s="4">
        <v>0.93</v>
      </c>
      <c r="M31" s="5">
        <v>40</v>
      </c>
      <c r="N31" s="4">
        <v>0.04</v>
      </c>
      <c r="O31" s="4">
        <v>0.96</v>
      </c>
      <c r="Q31" s="112"/>
      <c r="R31" s="112"/>
      <c r="S31" s="123" t="s">
        <v>0</v>
      </c>
      <c r="T31" s="123" t="s">
        <v>211</v>
      </c>
      <c r="U31" s="123" t="s">
        <v>212</v>
      </c>
      <c r="V31" s="123" t="s">
        <v>213</v>
      </c>
    </row>
    <row r="32" spans="1:23" ht="15.75" customHeight="1">
      <c r="B32" s="1">
        <v>25</v>
      </c>
      <c r="C32" s="2" t="s">
        <v>27</v>
      </c>
      <c r="D32" s="3">
        <v>320</v>
      </c>
      <c r="E32" s="4">
        <v>0.32</v>
      </c>
      <c r="F32" s="4">
        <v>0.62</v>
      </c>
      <c r="G32" s="5">
        <v>300</v>
      </c>
      <c r="H32" s="4">
        <v>0.3</v>
      </c>
      <c r="I32" s="4">
        <v>0.7</v>
      </c>
      <c r="J32" s="5">
        <v>360</v>
      </c>
      <c r="K32" s="4">
        <v>0.36</v>
      </c>
      <c r="L32" s="4">
        <v>0.56999999999999995</v>
      </c>
      <c r="M32" s="5">
        <v>280</v>
      </c>
      <c r="N32" s="4">
        <v>0.28000000000000003</v>
      </c>
      <c r="O32" s="4">
        <v>0.68</v>
      </c>
      <c r="Q32" s="170" t="s">
        <v>37</v>
      </c>
      <c r="R32" s="200"/>
      <c r="S32" s="117">
        <v>1.2999999999999999E-2</v>
      </c>
      <c r="T32" s="118">
        <v>1.2E-2</v>
      </c>
      <c r="U32" s="118">
        <v>1.0999999999999999E-2</v>
      </c>
      <c r="V32" s="118">
        <v>1.2E-2</v>
      </c>
    </row>
    <row r="33" spans="2:22" ht="15.75" customHeight="1">
      <c r="B33" s="1">
        <v>19</v>
      </c>
      <c r="C33" s="2" t="s">
        <v>29</v>
      </c>
      <c r="D33" s="3">
        <v>480</v>
      </c>
      <c r="E33" s="4">
        <v>0.48</v>
      </c>
      <c r="F33" s="4">
        <f t="shared" ref="F33:F41" si="4">F32-E33</f>
        <v>0.14000000000000001</v>
      </c>
      <c r="G33" s="5">
        <v>500</v>
      </c>
      <c r="H33" s="4">
        <v>0.5</v>
      </c>
      <c r="I33" s="4">
        <f t="shared" ref="I33:I41" si="5">I32-H33</f>
        <v>0.19999999999999996</v>
      </c>
      <c r="J33" s="5">
        <v>400</v>
      </c>
      <c r="K33" s="4">
        <v>0.4</v>
      </c>
      <c r="L33" s="4">
        <f t="shared" ref="L33:L39" si="6">L32-K33</f>
        <v>0.16999999999999993</v>
      </c>
      <c r="M33" s="5">
        <v>330</v>
      </c>
      <c r="N33" s="4">
        <v>0.33</v>
      </c>
      <c r="O33" s="4">
        <f t="shared" ref="O33:O39" si="7">O32-N33</f>
        <v>0.35000000000000003</v>
      </c>
      <c r="Q33" s="170" t="s">
        <v>39</v>
      </c>
      <c r="R33" s="200"/>
      <c r="S33" s="117">
        <v>0.04</v>
      </c>
      <c r="T33" s="118">
        <v>0.05</v>
      </c>
      <c r="U33" s="118">
        <v>0.06</v>
      </c>
      <c r="V33" s="118">
        <v>0.02</v>
      </c>
    </row>
    <row r="34" spans="2:22" ht="15.75" customHeight="1">
      <c r="B34" s="119">
        <v>45424</v>
      </c>
      <c r="C34" s="2" t="s">
        <v>31</v>
      </c>
      <c r="D34" s="3">
        <v>60</v>
      </c>
      <c r="E34" s="4">
        <v>0.06</v>
      </c>
      <c r="F34" s="4">
        <f t="shared" si="4"/>
        <v>8.0000000000000016E-2</v>
      </c>
      <c r="G34" s="5">
        <v>150</v>
      </c>
      <c r="H34" s="4">
        <v>0.15</v>
      </c>
      <c r="I34" s="4">
        <f t="shared" si="5"/>
        <v>4.9999999999999961E-2</v>
      </c>
      <c r="J34" s="5">
        <v>100</v>
      </c>
      <c r="K34" s="4">
        <v>0.1</v>
      </c>
      <c r="L34" s="4">
        <f t="shared" si="6"/>
        <v>6.9999999999999923E-2</v>
      </c>
      <c r="M34" s="5">
        <v>200</v>
      </c>
      <c r="N34" s="4">
        <v>0.2</v>
      </c>
      <c r="O34" s="4">
        <f t="shared" si="7"/>
        <v>0.15000000000000002</v>
      </c>
      <c r="Q34" s="170" t="s">
        <v>137</v>
      </c>
      <c r="R34" s="200"/>
      <c r="S34" s="3">
        <v>2.6</v>
      </c>
      <c r="T34" s="5">
        <v>2.6</v>
      </c>
      <c r="U34" s="5">
        <v>2.6</v>
      </c>
      <c r="V34" s="5">
        <v>2.6</v>
      </c>
    </row>
    <row r="35" spans="2:22" ht="15.75" customHeight="1">
      <c r="B35" s="119">
        <v>45421</v>
      </c>
      <c r="C35" s="2" t="s">
        <v>33</v>
      </c>
      <c r="D35" s="3">
        <v>80</v>
      </c>
      <c r="E35" s="4">
        <v>0.08</v>
      </c>
      <c r="F35" s="4">
        <f t="shared" si="4"/>
        <v>0</v>
      </c>
      <c r="G35" s="5">
        <v>50</v>
      </c>
      <c r="H35" s="4">
        <v>0.05</v>
      </c>
      <c r="I35" s="4">
        <f t="shared" si="5"/>
        <v>0</v>
      </c>
      <c r="J35" s="5">
        <v>70</v>
      </c>
      <c r="K35" s="4">
        <v>7.0000000000000007E-2</v>
      </c>
      <c r="L35" s="4">
        <f t="shared" si="6"/>
        <v>0</v>
      </c>
      <c r="M35" s="5">
        <v>110</v>
      </c>
      <c r="N35" s="4">
        <v>0.11</v>
      </c>
      <c r="O35" s="4">
        <f t="shared" si="7"/>
        <v>4.0000000000000022E-2</v>
      </c>
    </row>
    <row r="36" spans="2:22" ht="15.75" customHeight="1">
      <c r="B36" s="119">
        <v>45357</v>
      </c>
      <c r="C36" s="2" t="s">
        <v>34</v>
      </c>
      <c r="D36" s="3">
        <v>0</v>
      </c>
      <c r="E36" s="4">
        <v>0</v>
      </c>
      <c r="F36" s="4">
        <f t="shared" si="4"/>
        <v>0</v>
      </c>
      <c r="G36" s="5">
        <v>0</v>
      </c>
      <c r="H36" s="4">
        <v>0</v>
      </c>
      <c r="I36" s="4">
        <f t="shared" si="5"/>
        <v>0</v>
      </c>
      <c r="J36" s="5">
        <v>0</v>
      </c>
      <c r="K36" s="4">
        <v>0</v>
      </c>
      <c r="L36" s="4">
        <f t="shared" si="6"/>
        <v>0</v>
      </c>
      <c r="M36" s="5">
        <v>10</v>
      </c>
      <c r="N36" s="4">
        <v>0.01</v>
      </c>
      <c r="O36" s="4">
        <f t="shared" si="7"/>
        <v>3.000000000000002E-2</v>
      </c>
    </row>
    <row r="37" spans="2:22" ht="15.75" customHeight="1">
      <c r="B37" s="1" t="s">
        <v>205</v>
      </c>
      <c r="C37" s="2" t="s">
        <v>35</v>
      </c>
      <c r="D37" s="3">
        <v>0</v>
      </c>
      <c r="E37" s="4">
        <v>0</v>
      </c>
      <c r="F37" s="4">
        <f t="shared" si="4"/>
        <v>0</v>
      </c>
      <c r="G37" s="5">
        <v>0</v>
      </c>
      <c r="H37" s="4">
        <v>0</v>
      </c>
      <c r="I37" s="4">
        <f t="shared" si="5"/>
        <v>0</v>
      </c>
      <c r="J37" s="5">
        <v>0</v>
      </c>
      <c r="K37" s="4">
        <v>0</v>
      </c>
      <c r="L37" s="4">
        <f t="shared" si="6"/>
        <v>0</v>
      </c>
      <c r="M37" s="5">
        <v>20</v>
      </c>
      <c r="N37" s="4">
        <v>0.02</v>
      </c>
      <c r="O37" s="4">
        <f t="shared" si="7"/>
        <v>1.0000000000000019E-2</v>
      </c>
    </row>
    <row r="38" spans="2:22" ht="15.75" customHeight="1">
      <c r="B38" s="1" t="s">
        <v>206</v>
      </c>
      <c r="C38" s="2" t="s">
        <v>36</v>
      </c>
      <c r="D38" s="3">
        <v>0</v>
      </c>
      <c r="E38" s="4">
        <v>0</v>
      </c>
      <c r="F38" s="4">
        <f t="shared" si="4"/>
        <v>0</v>
      </c>
      <c r="G38" s="5">
        <v>0</v>
      </c>
      <c r="H38" s="4">
        <v>0</v>
      </c>
      <c r="I38" s="4">
        <f t="shared" si="5"/>
        <v>0</v>
      </c>
      <c r="J38" s="5">
        <v>0</v>
      </c>
      <c r="K38" s="4">
        <v>0</v>
      </c>
      <c r="L38" s="4">
        <f t="shared" si="6"/>
        <v>0</v>
      </c>
      <c r="M38" s="5">
        <v>10</v>
      </c>
      <c r="N38" s="4">
        <v>0.01</v>
      </c>
      <c r="O38" s="4">
        <f t="shared" si="7"/>
        <v>1.9081958235744878E-17</v>
      </c>
    </row>
    <row r="39" spans="2:22" ht="15.75" customHeight="1">
      <c r="B39" s="1" t="s">
        <v>207</v>
      </c>
      <c r="C39" s="2" t="s">
        <v>38</v>
      </c>
      <c r="D39" s="3">
        <v>0</v>
      </c>
      <c r="E39" s="4">
        <v>0</v>
      </c>
      <c r="F39" s="4">
        <f t="shared" si="4"/>
        <v>0</v>
      </c>
      <c r="G39" s="5">
        <v>0</v>
      </c>
      <c r="H39" s="4">
        <v>0</v>
      </c>
      <c r="I39" s="4">
        <f t="shared" si="5"/>
        <v>0</v>
      </c>
      <c r="J39" s="5">
        <v>0</v>
      </c>
      <c r="K39" s="4">
        <v>0</v>
      </c>
      <c r="L39" s="4">
        <f t="shared" si="6"/>
        <v>0</v>
      </c>
      <c r="M39" s="5">
        <v>0</v>
      </c>
      <c r="N39" s="4">
        <v>0</v>
      </c>
      <c r="O39" s="4">
        <f t="shared" si="7"/>
        <v>1.9081958235744878E-17</v>
      </c>
    </row>
    <row r="40" spans="2:22" ht="15.75" customHeight="1">
      <c r="B40" s="1" t="s">
        <v>208</v>
      </c>
      <c r="C40" s="2" t="s">
        <v>40</v>
      </c>
      <c r="D40" s="3">
        <v>0</v>
      </c>
      <c r="E40" s="4">
        <v>0</v>
      </c>
      <c r="F40" s="4">
        <f t="shared" si="4"/>
        <v>0</v>
      </c>
      <c r="G40" s="5">
        <v>0</v>
      </c>
      <c r="H40" s="4">
        <v>0</v>
      </c>
      <c r="I40" s="4">
        <f t="shared" si="5"/>
        <v>0</v>
      </c>
      <c r="J40" s="5">
        <v>0</v>
      </c>
      <c r="K40" s="4">
        <v>0</v>
      </c>
      <c r="L40" s="4">
        <v>0</v>
      </c>
      <c r="M40" s="5">
        <v>0</v>
      </c>
      <c r="N40" s="4">
        <v>0</v>
      </c>
      <c r="O40" s="4">
        <v>0</v>
      </c>
    </row>
    <row r="41" spans="2:22" ht="15.75" customHeight="1">
      <c r="B41" s="1" t="s">
        <v>209</v>
      </c>
      <c r="C41" s="2" t="s">
        <v>41</v>
      </c>
      <c r="D41" s="3">
        <v>0</v>
      </c>
      <c r="E41" s="4">
        <v>0</v>
      </c>
      <c r="F41" s="4">
        <f t="shared" si="4"/>
        <v>0</v>
      </c>
      <c r="G41" s="5">
        <v>0</v>
      </c>
      <c r="H41" s="4">
        <v>0</v>
      </c>
      <c r="I41" s="4">
        <f t="shared" si="5"/>
        <v>0</v>
      </c>
      <c r="J41" s="5">
        <v>0</v>
      </c>
      <c r="K41" s="4">
        <v>0</v>
      </c>
      <c r="L41" s="4">
        <v>0</v>
      </c>
      <c r="M41" s="5">
        <v>0</v>
      </c>
      <c r="N41" s="4">
        <v>0</v>
      </c>
      <c r="O41" s="4">
        <v>0</v>
      </c>
    </row>
    <row r="42" spans="2:22" ht="15.75" customHeight="1">
      <c r="B42" s="7" t="s">
        <v>210</v>
      </c>
      <c r="C42" s="8" t="s">
        <v>43</v>
      </c>
      <c r="D42" s="3">
        <v>0</v>
      </c>
      <c r="E42" s="4">
        <v>0</v>
      </c>
      <c r="F42" s="4">
        <v>0</v>
      </c>
      <c r="G42" s="5">
        <v>0</v>
      </c>
      <c r="H42" s="4">
        <v>0</v>
      </c>
      <c r="I42" s="4">
        <v>0</v>
      </c>
      <c r="J42" s="5">
        <v>0</v>
      </c>
      <c r="K42" s="4">
        <v>0</v>
      </c>
      <c r="L42" s="4">
        <v>0</v>
      </c>
      <c r="M42" s="5">
        <v>0</v>
      </c>
      <c r="N42" s="4">
        <v>0</v>
      </c>
      <c r="O42" s="4">
        <v>0</v>
      </c>
    </row>
    <row r="43" spans="2:22" ht="15.75" customHeight="1">
      <c r="B43" s="170" t="s">
        <v>44</v>
      </c>
      <c r="C43" s="200"/>
      <c r="D43" s="5">
        <v>0</v>
      </c>
      <c r="E43" s="9"/>
      <c r="F43" s="9"/>
      <c r="G43" s="3">
        <v>0</v>
      </c>
      <c r="H43" s="9"/>
      <c r="I43" s="9"/>
      <c r="J43" s="3">
        <v>0</v>
      </c>
      <c r="K43" s="9"/>
      <c r="L43" s="112"/>
      <c r="M43" s="3">
        <v>0</v>
      </c>
      <c r="N43" s="9"/>
      <c r="O43" s="112"/>
    </row>
    <row r="44" spans="2:22" ht="15.75" customHeight="1">
      <c r="B44" s="170" t="s">
        <v>45</v>
      </c>
      <c r="C44" s="200"/>
      <c r="D44" s="5">
        <f>SUM(D28:D42)</f>
        <v>1000</v>
      </c>
      <c r="E44" s="112"/>
      <c r="F44" s="112"/>
      <c r="G44" s="10">
        <f>SUM(G28:G42)</f>
        <v>1000</v>
      </c>
      <c r="H44" s="112"/>
      <c r="I44" s="112"/>
      <c r="J44" s="3">
        <f>SUM(J28:J42)</f>
        <v>1000</v>
      </c>
      <c r="K44" s="112"/>
      <c r="L44" s="112"/>
      <c r="M44" s="3">
        <f>SUM(M28:M42)</f>
        <v>1000</v>
      </c>
      <c r="N44" s="112"/>
      <c r="O44" s="112"/>
    </row>
    <row r="45" spans="2:22" ht="15.75" customHeight="1"/>
    <row r="46" spans="2:22" ht="15.75" customHeight="1"/>
    <row r="47" spans="2:22" ht="15.75" customHeight="1"/>
    <row r="48" spans="2:22" ht="15.75" customHeight="1"/>
    <row r="49" spans="2:22" ht="15.75" customHeight="1">
      <c r="B49" s="112"/>
      <c r="C49" s="112"/>
      <c r="D49" s="201" t="s">
        <v>214</v>
      </c>
      <c r="E49" s="202"/>
      <c r="F49" s="200"/>
      <c r="G49" s="151" t="s">
        <v>215</v>
      </c>
      <c r="H49" s="202"/>
      <c r="I49" s="200"/>
      <c r="J49" s="151" t="s">
        <v>2</v>
      </c>
      <c r="K49" s="202"/>
      <c r="L49" s="200"/>
      <c r="M49" s="151" t="s">
        <v>216</v>
      </c>
      <c r="N49" s="202"/>
      <c r="O49" s="200"/>
    </row>
    <row r="50" spans="2:22" ht="15.75" customHeight="1">
      <c r="B50" s="201" t="s">
        <v>6</v>
      </c>
      <c r="C50" s="200"/>
      <c r="D50" s="201" t="s">
        <v>7</v>
      </c>
      <c r="E50" s="200"/>
      <c r="F50" s="124" t="s">
        <v>8</v>
      </c>
      <c r="G50" s="151" t="s">
        <v>7</v>
      </c>
      <c r="H50" s="200"/>
      <c r="I50" s="124" t="s">
        <v>8</v>
      </c>
      <c r="J50" s="151" t="s">
        <v>7</v>
      </c>
      <c r="K50" s="200"/>
      <c r="L50" s="124" t="s">
        <v>8</v>
      </c>
      <c r="M50" s="151" t="s">
        <v>7</v>
      </c>
      <c r="N50" s="200"/>
      <c r="O50" s="124" t="s">
        <v>8</v>
      </c>
    </row>
    <row r="51" spans="2:22" ht="15.75" customHeight="1">
      <c r="B51" s="125" t="s">
        <v>10</v>
      </c>
      <c r="C51" s="126" t="s">
        <v>11</v>
      </c>
      <c r="D51" s="125" t="s">
        <v>12</v>
      </c>
      <c r="E51" s="124" t="s">
        <v>13</v>
      </c>
      <c r="F51" s="124" t="s">
        <v>13</v>
      </c>
      <c r="G51" s="124" t="s">
        <v>12</v>
      </c>
      <c r="H51" s="124" t="s">
        <v>13</v>
      </c>
      <c r="I51" s="124" t="s">
        <v>13</v>
      </c>
      <c r="J51" s="124" t="s">
        <v>12</v>
      </c>
      <c r="K51" s="124" t="s">
        <v>13</v>
      </c>
      <c r="L51" s="124" t="s">
        <v>13</v>
      </c>
      <c r="M51" s="124" t="s">
        <v>12</v>
      </c>
      <c r="N51" s="124" t="s">
        <v>13</v>
      </c>
      <c r="O51" s="124" t="s">
        <v>13</v>
      </c>
    </row>
    <row r="52" spans="2:22" ht="15.75" customHeight="1">
      <c r="B52" s="1">
        <v>75</v>
      </c>
      <c r="C52" s="2" t="s">
        <v>15</v>
      </c>
      <c r="D52" s="3">
        <v>0</v>
      </c>
      <c r="E52" s="4">
        <v>0</v>
      </c>
      <c r="F52" s="4">
        <v>1</v>
      </c>
      <c r="G52" s="5">
        <v>0</v>
      </c>
      <c r="H52" s="4">
        <v>0</v>
      </c>
      <c r="I52" s="4">
        <v>1</v>
      </c>
      <c r="J52" s="5">
        <v>0</v>
      </c>
      <c r="K52" s="4">
        <v>0</v>
      </c>
      <c r="L52" s="4">
        <v>1</v>
      </c>
      <c r="M52" s="5">
        <v>0</v>
      </c>
      <c r="N52" s="4">
        <v>0</v>
      </c>
      <c r="O52" s="4">
        <v>1</v>
      </c>
    </row>
    <row r="53" spans="2:22" ht="15.75" customHeight="1">
      <c r="B53" s="1">
        <v>63</v>
      </c>
      <c r="C53" s="2" t="s">
        <v>18</v>
      </c>
      <c r="D53" s="3">
        <v>0</v>
      </c>
      <c r="E53" s="4">
        <v>0</v>
      </c>
      <c r="F53" s="4">
        <v>1</v>
      </c>
      <c r="G53" s="5">
        <v>0</v>
      </c>
      <c r="H53" s="4">
        <v>0</v>
      </c>
      <c r="I53" s="4">
        <v>1</v>
      </c>
      <c r="J53" s="5">
        <v>0</v>
      </c>
      <c r="K53" s="4">
        <v>0</v>
      </c>
      <c r="L53" s="4">
        <v>1</v>
      </c>
      <c r="M53" s="5">
        <v>0</v>
      </c>
      <c r="N53" s="4">
        <v>0</v>
      </c>
      <c r="O53" s="4">
        <v>1</v>
      </c>
    </row>
    <row r="54" spans="2:22" ht="15.75" customHeight="1">
      <c r="B54" s="1">
        <v>50</v>
      </c>
      <c r="C54" s="2" t="s">
        <v>21</v>
      </c>
      <c r="D54" s="3">
        <v>0</v>
      </c>
      <c r="E54" s="4">
        <v>0</v>
      </c>
      <c r="F54" s="4">
        <v>1</v>
      </c>
      <c r="G54" s="5">
        <v>0</v>
      </c>
      <c r="H54" s="4">
        <v>0</v>
      </c>
      <c r="I54" s="4">
        <v>1</v>
      </c>
      <c r="J54" s="5">
        <v>0</v>
      </c>
      <c r="K54" s="4">
        <v>0</v>
      </c>
      <c r="L54" s="4">
        <v>1</v>
      </c>
      <c r="M54" s="5">
        <v>0</v>
      </c>
      <c r="N54" s="4">
        <v>0</v>
      </c>
      <c r="O54" s="4">
        <v>1</v>
      </c>
    </row>
    <row r="55" spans="2:22" ht="15.75" customHeight="1">
      <c r="B55" s="1" t="s">
        <v>204</v>
      </c>
      <c r="C55" s="2" t="s">
        <v>24</v>
      </c>
      <c r="D55" s="3">
        <v>0</v>
      </c>
      <c r="E55" s="4">
        <v>0</v>
      </c>
      <c r="F55" s="4">
        <v>1</v>
      </c>
      <c r="G55" s="5">
        <v>0</v>
      </c>
      <c r="H55" s="4">
        <v>0</v>
      </c>
      <c r="I55" s="4">
        <v>1</v>
      </c>
      <c r="J55" s="5">
        <v>0</v>
      </c>
      <c r="K55" s="4">
        <v>0</v>
      </c>
      <c r="L55" s="4">
        <v>1</v>
      </c>
      <c r="M55" s="5">
        <v>0</v>
      </c>
      <c r="N55" s="4">
        <v>0</v>
      </c>
      <c r="O55" s="4">
        <v>1</v>
      </c>
    </row>
    <row r="56" spans="2:22" ht="15.75" customHeight="1">
      <c r="B56" s="1">
        <v>25</v>
      </c>
      <c r="C56" s="2" t="s">
        <v>27</v>
      </c>
      <c r="D56" s="3">
        <v>0</v>
      </c>
      <c r="E56" s="4">
        <v>0</v>
      </c>
      <c r="F56" s="4">
        <v>1</v>
      </c>
      <c r="G56" s="5">
        <v>0</v>
      </c>
      <c r="H56" s="4">
        <v>0</v>
      </c>
      <c r="I56" s="4">
        <v>1</v>
      </c>
      <c r="J56" s="5">
        <v>0</v>
      </c>
      <c r="K56" s="4">
        <v>0</v>
      </c>
      <c r="L56" s="4">
        <v>1</v>
      </c>
      <c r="M56" s="5">
        <v>0</v>
      </c>
      <c r="N56" s="4">
        <v>0</v>
      </c>
      <c r="O56" s="4">
        <v>1</v>
      </c>
      <c r="Q56" s="112"/>
      <c r="R56" s="112"/>
      <c r="S56" s="127" t="s">
        <v>214</v>
      </c>
      <c r="T56" s="127" t="s">
        <v>215</v>
      </c>
      <c r="U56" s="127" t="s">
        <v>2</v>
      </c>
      <c r="V56" s="127" t="s">
        <v>216</v>
      </c>
    </row>
    <row r="57" spans="2:22" ht="15.75" customHeight="1">
      <c r="B57" s="1">
        <v>19</v>
      </c>
      <c r="C57" s="2" t="s">
        <v>29</v>
      </c>
      <c r="D57" s="3">
        <v>0</v>
      </c>
      <c r="E57" s="4">
        <v>0</v>
      </c>
      <c r="F57" s="4">
        <v>1</v>
      </c>
      <c r="G57" s="5">
        <v>0</v>
      </c>
      <c r="H57" s="4">
        <v>0</v>
      </c>
      <c r="I57" s="4">
        <v>1</v>
      </c>
      <c r="J57" s="5">
        <v>0</v>
      </c>
      <c r="K57" s="4">
        <v>0</v>
      </c>
      <c r="L57" s="4">
        <v>1</v>
      </c>
      <c r="M57" s="5">
        <v>0</v>
      </c>
      <c r="N57" s="4">
        <v>0</v>
      </c>
      <c r="O57" s="4">
        <v>1</v>
      </c>
      <c r="Q57" s="170" t="s">
        <v>37</v>
      </c>
      <c r="R57" s="200"/>
      <c r="S57" s="117">
        <v>1.2E-2</v>
      </c>
      <c r="T57" s="118">
        <v>1.2999999999999999E-2</v>
      </c>
      <c r="U57" s="118">
        <v>1.2E-2</v>
      </c>
      <c r="V57" s="118">
        <v>1.0999999999999999E-2</v>
      </c>
    </row>
    <row r="58" spans="2:22" ht="15.75" customHeight="1">
      <c r="B58" s="119">
        <v>45424</v>
      </c>
      <c r="C58" s="2" t="s">
        <v>31</v>
      </c>
      <c r="D58" s="3">
        <v>0</v>
      </c>
      <c r="E58" s="4">
        <v>0</v>
      </c>
      <c r="F58" s="4">
        <f t="shared" ref="F58:F66" si="8">F57-E58</f>
        <v>1</v>
      </c>
      <c r="G58" s="5">
        <v>0</v>
      </c>
      <c r="H58" s="4">
        <v>0</v>
      </c>
      <c r="I58" s="4">
        <v>1</v>
      </c>
      <c r="J58" s="5">
        <v>0</v>
      </c>
      <c r="K58" s="4">
        <v>0</v>
      </c>
      <c r="L58" s="4">
        <v>1</v>
      </c>
      <c r="M58" s="5">
        <v>0</v>
      </c>
      <c r="N58" s="4">
        <v>0</v>
      </c>
      <c r="O58" s="4">
        <v>1</v>
      </c>
      <c r="Q58" s="170" t="s">
        <v>39</v>
      </c>
      <c r="R58" s="200"/>
      <c r="S58" s="117">
        <v>0.06</v>
      </c>
      <c r="T58" s="118">
        <v>7.0000000000000007E-2</v>
      </c>
      <c r="U58" s="118">
        <v>0.06</v>
      </c>
      <c r="V58" s="118">
        <v>0.09</v>
      </c>
    </row>
    <row r="59" spans="2:22" ht="15.75" customHeight="1">
      <c r="B59" s="119">
        <v>45421</v>
      </c>
      <c r="C59" s="2" t="s">
        <v>33</v>
      </c>
      <c r="D59" s="3">
        <v>60</v>
      </c>
      <c r="E59" s="4">
        <v>0.06</v>
      </c>
      <c r="F59" s="4">
        <f t="shared" si="8"/>
        <v>0.94</v>
      </c>
      <c r="G59" s="5">
        <v>30</v>
      </c>
      <c r="H59" s="4">
        <v>0.03</v>
      </c>
      <c r="I59" s="4">
        <f t="shared" ref="I59:I66" si="9">I58-H59</f>
        <v>0.97</v>
      </c>
      <c r="J59" s="5">
        <v>0</v>
      </c>
      <c r="K59" s="4">
        <v>0</v>
      </c>
      <c r="L59" s="4">
        <v>1</v>
      </c>
      <c r="M59" s="5">
        <v>0</v>
      </c>
      <c r="N59" s="4">
        <v>0</v>
      </c>
      <c r="O59" s="4">
        <v>1</v>
      </c>
      <c r="Q59" s="170" t="s">
        <v>137</v>
      </c>
      <c r="R59" s="200"/>
      <c r="S59" s="3">
        <v>2.7</v>
      </c>
      <c r="T59" s="5">
        <v>2.7</v>
      </c>
      <c r="U59" s="5">
        <v>2.7</v>
      </c>
      <c r="V59" s="5">
        <v>2.7</v>
      </c>
    </row>
    <row r="60" spans="2:22" ht="15.75" customHeight="1">
      <c r="B60" s="119">
        <v>45357</v>
      </c>
      <c r="C60" s="2" t="s">
        <v>34</v>
      </c>
      <c r="D60" s="3">
        <v>140</v>
      </c>
      <c r="E60" s="4">
        <v>0.14000000000000001</v>
      </c>
      <c r="F60" s="4">
        <f t="shared" si="8"/>
        <v>0.79999999999999993</v>
      </c>
      <c r="G60" s="5">
        <v>140</v>
      </c>
      <c r="H60" s="4">
        <v>0.14000000000000001</v>
      </c>
      <c r="I60" s="4">
        <f t="shared" si="9"/>
        <v>0.83</v>
      </c>
      <c r="J60" s="5">
        <v>40</v>
      </c>
      <c r="K60" s="4">
        <v>0.04</v>
      </c>
      <c r="L60" s="4">
        <f t="shared" ref="L60:L66" si="10">L59-K60</f>
        <v>0.96</v>
      </c>
      <c r="M60" s="5">
        <v>70</v>
      </c>
      <c r="N60" s="4">
        <v>7.0000000000000007E-2</v>
      </c>
      <c r="O60" s="4">
        <f t="shared" ref="O60:O66" si="11">O59-N60</f>
        <v>0.92999999999999994</v>
      </c>
    </row>
    <row r="61" spans="2:22" ht="15.75" customHeight="1">
      <c r="B61" s="1" t="s">
        <v>205</v>
      </c>
      <c r="C61" s="2" t="s">
        <v>35</v>
      </c>
      <c r="D61" s="3">
        <v>70</v>
      </c>
      <c r="E61" s="4">
        <v>7.0000000000000007E-2</v>
      </c>
      <c r="F61" s="4">
        <f t="shared" si="8"/>
        <v>0.73</v>
      </c>
      <c r="G61" s="5">
        <v>70</v>
      </c>
      <c r="H61" s="4">
        <v>7.0000000000000007E-2</v>
      </c>
      <c r="I61" s="4">
        <f t="shared" si="9"/>
        <v>0.76</v>
      </c>
      <c r="J61" s="5">
        <v>280</v>
      </c>
      <c r="K61" s="4">
        <v>0.28000000000000003</v>
      </c>
      <c r="L61" s="4">
        <f t="shared" si="10"/>
        <v>0.67999999999999994</v>
      </c>
      <c r="M61" s="5">
        <v>230</v>
      </c>
      <c r="N61" s="4">
        <v>0.23</v>
      </c>
      <c r="O61" s="4">
        <f t="shared" si="11"/>
        <v>0.7</v>
      </c>
    </row>
    <row r="62" spans="2:22" ht="15.75" customHeight="1">
      <c r="B62" s="1" t="s">
        <v>206</v>
      </c>
      <c r="C62" s="2" t="s">
        <v>36</v>
      </c>
      <c r="D62" s="3">
        <v>100</v>
      </c>
      <c r="E62" s="4">
        <v>0.1</v>
      </c>
      <c r="F62" s="4">
        <f t="shared" si="8"/>
        <v>0.63</v>
      </c>
      <c r="G62" s="5">
        <v>140</v>
      </c>
      <c r="H62" s="4">
        <v>0.14000000000000001</v>
      </c>
      <c r="I62" s="4">
        <f t="shared" si="9"/>
        <v>0.62</v>
      </c>
      <c r="J62" s="5">
        <v>130</v>
      </c>
      <c r="K62" s="4">
        <v>0.13</v>
      </c>
      <c r="L62" s="4">
        <f t="shared" si="10"/>
        <v>0.54999999999999993</v>
      </c>
      <c r="M62" s="5">
        <v>160</v>
      </c>
      <c r="N62" s="4">
        <v>0.16</v>
      </c>
      <c r="O62" s="4">
        <f t="shared" si="11"/>
        <v>0.53999999999999992</v>
      </c>
    </row>
    <row r="63" spans="2:22" ht="15.75" customHeight="1">
      <c r="B63" s="1" t="s">
        <v>207</v>
      </c>
      <c r="C63" s="2" t="s">
        <v>38</v>
      </c>
      <c r="D63" s="3">
        <v>200</v>
      </c>
      <c r="E63" s="4">
        <v>0.2</v>
      </c>
      <c r="F63" s="4">
        <f t="shared" si="8"/>
        <v>0.43</v>
      </c>
      <c r="G63" s="5">
        <v>220</v>
      </c>
      <c r="H63" s="4">
        <v>0.22</v>
      </c>
      <c r="I63" s="4">
        <f t="shared" si="9"/>
        <v>0.4</v>
      </c>
      <c r="J63" s="5">
        <v>170</v>
      </c>
      <c r="K63" s="4">
        <v>0.17</v>
      </c>
      <c r="L63" s="4">
        <f t="shared" si="10"/>
        <v>0.37999999999999989</v>
      </c>
      <c r="M63" s="5">
        <v>140</v>
      </c>
      <c r="N63" s="4">
        <v>0.14000000000000001</v>
      </c>
      <c r="O63" s="4">
        <f t="shared" si="11"/>
        <v>0.39999999999999991</v>
      </c>
    </row>
    <row r="64" spans="2:22" ht="15.75" customHeight="1">
      <c r="B64" s="1" t="s">
        <v>208</v>
      </c>
      <c r="C64" s="2" t="s">
        <v>40</v>
      </c>
      <c r="D64" s="3">
        <v>130</v>
      </c>
      <c r="E64" s="4">
        <v>0.13</v>
      </c>
      <c r="F64" s="4">
        <f t="shared" si="8"/>
        <v>0.3</v>
      </c>
      <c r="G64" s="5">
        <v>120</v>
      </c>
      <c r="H64" s="4">
        <v>0.12</v>
      </c>
      <c r="I64" s="4">
        <f t="shared" si="9"/>
        <v>0.28000000000000003</v>
      </c>
      <c r="J64" s="5">
        <v>110</v>
      </c>
      <c r="K64" s="4">
        <v>0.11</v>
      </c>
      <c r="L64" s="4">
        <f t="shared" si="10"/>
        <v>0.26999999999999991</v>
      </c>
      <c r="M64" s="5">
        <v>130</v>
      </c>
      <c r="N64" s="4">
        <v>0.13</v>
      </c>
      <c r="O64" s="4">
        <f t="shared" si="11"/>
        <v>0.26999999999999991</v>
      </c>
    </row>
    <row r="65" spans="2:15" ht="15.75" customHeight="1">
      <c r="B65" s="1" t="s">
        <v>209</v>
      </c>
      <c r="C65" s="2" t="s">
        <v>41</v>
      </c>
      <c r="D65" s="3">
        <v>210</v>
      </c>
      <c r="E65" s="4">
        <v>0.21</v>
      </c>
      <c r="F65" s="4">
        <f t="shared" si="8"/>
        <v>0.09</v>
      </c>
      <c r="G65" s="5">
        <v>160</v>
      </c>
      <c r="H65" s="4">
        <v>0.16</v>
      </c>
      <c r="I65" s="4">
        <f t="shared" si="9"/>
        <v>0.12000000000000002</v>
      </c>
      <c r="J65" s="5">
        <v>170</v>
      </c>
      <c r="K65" s="4">
        <v>0.17</v>
      </c>
      <c r="L65" s="4">
        <f t="shared" si="10"/>
        <v>9.9999999999999895E-2</v>
      </c>
      <c r="M65" s="5">
        <v>150</v>
      </c>
      <c r="N65" s="4">
        <v>0.15</v>
      </c>
      <c r="O65" s="4">
        <f t="shared" si="11"/>
        <v>0.11999999999999991</v>
      </c>
    </row>
    <row r="66" spans="2:15" ht="15.75" customHeight="1">
      <c r="B66" s="7" t="s">
        <v>210</v>
      </c>
      <c r="C66" s="8" t="s">
        <v>43</v>
      </c>
      <c r="D66" s="3">
        <v>40</v>
      </c>
      <c r="E66" s="4">
        <v>0.04</v>
      </c>
      <c r="F66" s="4">
        <f t="shared" si="8"/>
        <v>4.9999999999999996E-2</v>
      </c>
      <c r="G66" s="5">
        <v>90</v>
      </c>
      <c r="H66" s="4">
        <v>0.09</v>
      </c>
      <c r="I66" s="4">
        <f t="shared" si="9"/>
        <v>3.0000000000000027E-2</v>
      </c>
      <c r="J66" s="5">
        <v>60</v>
      </c>
      <c r="K66" s="4">
        <v>0.06</v>
      </c>
      <c r="L66" s="4">
        <f t="shared" si="10"/>
        <v>3.9999999999999897E-2</v>
      </c>
      <c r="M66" s="5">
        <v>90</v>
      </c>
      <c r="N66" s="4">
        <v>0.09</v>
      </c>
      <c r="O66" s="4">
        <f t="shared" si="11"/>
        <v>2.9999999999999916E-2</v>
      </c>
    </row>
    <row r="67" spans="2:15" ht="15.75" customHeight="1">
      <c r="B67" s="170" t="s">
        <v>44</v>
      </c>
      <c r="C67" s="200"/>
      <c r="D67" s="5">
        <v>50</v>
      </c>
      <c r="E67" s="9"/>
      <c r="F67" s="9"/>
      <c r="G67" s="3">
        <v>30</v>
      </c>
      <c r="H67" s="9"/>
      <c r="I67" s="9"/>
      <c r="J67" s="3">
        <v>40</v>
      </c>
      <c r="K67" s="9"/>
      <c r="L67" s="112"/>
      <c r="M67" s="3">
        <v>30</v>
      </c>
      <c r="N67" s="9"/>
      <c r="O67" s="112"/>
    </row>
    <row r="68" spans="2:15" ht="15.75" customHeight="1">
      <c r="B68" s="170" t="s">
        <v>45</v>
      </c>
      <c r="C68" s="200"/>
      <c r="D68" s="5">
        <f>SUM(D52:D67)</f>
        <v>1000</v>
      </c>
      <c r="E68" s="112"/>
      <c r="F68" s="112"/>
      <c r="G68" s="10">
        <f>SUM(G52:G67)</f>
        <v>1000</v>
      </c>
      <c r="H68" s="112"/>
      <c r="I68" s="112"/>
      <c r="J68" s="3">
        <f>SUM(J52:J67)</f>
        <v>1000</v>
      </c>
      <c r="K68" s="112"/>
      <c r="L68" s="112"/>
      <c r="M68" s="3">
        <f>SUM(M52:M67)</f>
        <v>1000</v>
      </c>
      <c r="N68" s="112"/>
      <c r="O68" s="112"/>
    </row>
    <row r="69" spans="2:15" ht="15.75" customHeight="1"/>
    <row r="70" spans="2:15" ht="15.75" customHeight="1"/>
    <row r="71" spans="2:15" ht="15.75" customHeight="1"/>
    <row r="72" spans="2:15" ht="15.75" customHeight="1"/>
    <row r="73" spans="2:15" ht="15.75" customHeight="1"/>
    <row r="74" spans="2:15" ht="15.75" customHeight="1"/>
    <row r="75" spans="2:15" ht="15.75" customHeight="1"/>
    <row r="76" spans="2:15" ht="15.75" customHeight="1"/>
    <row r="77" spans="2:15" ht="15.75" customHeight="1"/>
    <row r="78" spans="2:15" ht="15.75" customHeight="1"/>
    <row r="79" spans="2:15" ht="15.75" customHeight="1"/>
    <row r="80" spans="2:15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2">
    <mergeCell ref="D2:F2"/>
    <mergeCell ref="G2:I2"/>
    <mergeCell ref="J2:L2"/>
    <mergeCell ref="M2:O2"/>
    <mergeCell ref="B3:C3"/>
    <mergeCell ref="D3:E3"/>
    <mergeCell ref="G3:H3"/>
    <mergeCell ref="J3:K3"/>
    <mergeCell ref="M3:N3"/>
    <mergeCell ref="Q32:R32"/>
    <mergeCell ref="Q10:R10"/>
    <mergeCell ref="Q11:R11"/>
    <mergeCell ref="Q12:R12"/>
    <mergeCell ref="B20:C20"/>
    <mergeCell ref="B21:C21"/>
    <mergeCell ref="D25:F25"/>
    <mergeCell ref="G25:I25"/>
    <mergeCell ref="J25:L25"/>
    <mergeCell ref="M25:O25"/>
    <mergeCell ref="B26:C26"/>
    <mergeCell ref="D26:E26"/>
    <mergeCell ref="G26:H26"/>
    <mergeCell ref="J26:K26"/>
    <mergeCell ref="M26:N26"/>
    <mergeCell ref="Q33:R33"/>
    <mergeCell ref="Q34:R34"/>
    <mergeCell ref="B43:C43"/>
    <mergeCell ref="B44:C44"/>
    <mergeCell ref="D49:F49"/>
    <mergeCell ref="G49:I49"/>
    <mergeCell ref="J49:L49"/>
    <mergeCell ref="M49:O49"/>
    <mergeCell ref="Q58:R58"/>
    <mergeCell ref="Q59:R59"/>
    <mergeCell ref="B67:C67"/>
    <mergeCell ref="B68:C68"/>
    <mergeCell ref="B50:C50"/>
    <mergeCell ref="D50:E50"/>
    <mergeCell ref="G50:H50"/>
    <mergeCell ref="J50:K50"/>
    <mergeCell ref="M50:N50"/>
    <mergeCell ref="Q57:R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PLANTILLA</vt:lpstr>
      <vt:lpstr>GRAFICOS</vt:lpstr>
      <vt:lpstr>ARIDOS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Wolff</dc:creator>
  <cp:lastModifiedBy>felipe vicencio</cp:lastModifiedBy>
  <dcterms:created xsi:type="dcterms:W3CDTF">2025-08-16T14:06:29Z</dcterms:created>
  <dcterms:modified xsi:type="dcterms:W3CDTF">2025-08-22T01:15:43Z</dcterms:modified>
</cp:coreProperties>
</file>